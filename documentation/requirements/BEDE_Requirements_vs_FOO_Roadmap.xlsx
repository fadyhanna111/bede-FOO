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DE Req vs Roadmap" sheetId="1" state="visible" r:id="rId3"/>
    <sheet name="BEDE Coverage by FRD" sheetId="2" state="visible" r:id="rId4"/>
    <sheet name="Initial Roadmap" sheetId="3" state="visible" r:id="rId5"/>
  </sheets>
  <definedNames>
    <definedName function="false" hidden="true" localSheetId="1" name="_xlnm._FilterDatabase" vbProcedure="false">'BEDE Coverage by FRD'!$A$13:$J$131</definedName>
    <definedName function="false" hidden="true" localSheetId="0" name="_xlnm._FilterDatabase" vbProcedure="false">'BEDE Req vs Roadmap'!$A$15:$P$154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<sst xmlns="http://schemas.openxmlformats.org/spreadsheetml/2006/main" count="3832" uniqueCount="1234">
  <si>
    <t xml:space="preserve">BEDE LMS Scope &amp; Requirements  vs  FOO Roadmap (Summary Of Tasks) — Consolidated Traceability</t>
  </si>
  <si>
    <t xml:space="preserve">"Summary Of Tasks" = FOO roadmap of known gaps to be built. Each BEDE requirement is checked: is it in the roadmap, does the roadmap item need BEDE details added (column K), is it missing from the roadmap, or is it already native. Bottom section = roadmap items BEDE does not require or that contradict BEDE. Roadmap # follows Summary Of Tasks numbering (#10.x / #11.x = Islamic Financing sub-rows).</t>
  </si>
  <si>
    <t xml:space="preserve">Status</t>
  </si>
  <si>
    <t xml:space="preserve">Count</t>
  </si>
  <si>
    <t xml:space="preserve">Meaning</t>
  </si>
  <si>
    <t xml:space="preserve">KEY FINDINGS</t>
  </si>
  <si>
    <t xml:space="preserve">In Roadmap</t>
  </si>
  <si>
    <t xml:space="preserve">Roadmap item exists and matches the BEDE requirement</t>
  </si>
  <si>
    <t xml:space="preserve">1. Missing from roadmap (product features): product versioning + SSB approval gate (FR-05/06), disbursement to CBS/merchant (FR-16), top-up (FR-20), customer statements (FR-25), collections queues &amp; promise-to-pay (FR-30), SSO/MFA (FR-31/INT-10), DWH read replica/CDC (FR-35/INT-09), bureau reporting (INT-06), AML/sanctions hooks (INT-07), batch-job alerting (FR-39).</t>
  </si>
  <si>
    <t xml:space="preserve">In Roadmap – add BEDE details</t>
  </si>
  <si>
    <t xml:space="preserve">Roadmap item exists – BEDE asks for more; add the details in column K to the roadmap item</t>
  </si>
  <si>
    <t xml:space="preserve">2. In roadmap but BEDE asks for more (add col K details): schedule templates incl. skip/seasonal/step-down (#11.7), in-app e-sign (#11.1), ibra' on partial settlement (#10.3), LMS-vs-CBS recon (#21), WhatsApp + delivery status (#16), all §4.3 journeys in app API (#1), migration scope M-02..M-08 (#36).</t>
  </si>
  <si>
    <t xml:space="preserve">Missing from Roadmap</t>
  </si>
  <si>
    <t xml:space="preserve">BEDE requirement with no roadmap item and not native – new roadmap item needed</t>
  </si>
  <si>
    <t xml:space="preserve">3. Conflicts: #9 one active loan vs FR-21; #27 partial payment held vs FR-19; Mambu option vs NFR-06/17/19; C-01 IP clause vs FOO reusable Murabaha modules.</t>
  </si>
  <si>
    <t xml:space="preserve">Conflicts with Roadmap item</t>
  </si>
  <si>
    <t xml:space="preserve">Roadmap item (or option) contradicts the BEDE requirement</t>
  </si>
  <si>
    <t xml:space="preserve">4. Roadmap items not required by BEDE (exclude from BEDE estimate, ≈ 40 MD): #2, #4, #5 (engine out of scope §3.2), #10.4 Takaful, #11.2 FX, #11.4 Wakala, #18, #19, #20, #22, #23, #24.</t>
  </si>
  <si>
    <t xml:space="preserve">Native – no roadmap item needed</t>
  </si>
  <si>
    <t xml:space="preserve">Already available in Fineract/FOO – configuration only</t>
  </si>
  <si>
    <t xml:space="preserve">5. Build location (cols K–L): Inside Mifos = product versioning, SSB gate, data retention/purge, plus conflict fixes #9/#27. Outside Mifos = collections tool, bureau reporting, DWH/CDC, IdP, integration middleware, DevOps/monitoring. Split = disbursement, top-up, statements, AML hooks, SSO, logging/telemetry, zero-downtime/rollback.</t>
  </si>
  <si>
    <t xml:space="preserve">Non-roadmap (delivery / support / commercial)</t>
  </si>
  <si>
    <t xml:space="preserve">Not a product feature: delivery, NFR process, support or commercial – plan/price in the response</t>
  </si>
  <si>
    <t xml:space="preserve">6. Not estimated yet: #3, #4, #31–#35; non-roadmap effort (QA/SIT, perf &amp; pen test, DevOps/IaC, docs, training, discovery, PM, hypercare) to add to the BEDE response.</t>
  </si>
  <si>
    <t xml:space="preserve">Roadmap only – not required by BEDE</t>
  </si>
  <si>
    <t xml:space="preserve">Roadmap item not required by BEDE – keep in product roadmap, exclude from BEDE estimate</t>
  </si>
  <si>
    <t xml:space="preserve">Roadmap – rescope to BEDE wording</t>
  </si>
  <si>
    <t xml:space="preserve">Roadmap item related, but must be reshaped to BEDE requirement</t>
  </si>
  <si>
    <t xml:space="preserve">Roadmap – keep (implied by CBB)</t>
  </si>
  <si>
    <t xml:space="preserve">Not explicit in BEDE doc, but needed for a CBB-licensed lender</t>
  </si>
  <si>
    <t xml:space="preserve">Total</t>
  </si>
  <si>
    <t xml:space="preserve">Ref ID</t>
  </si>
  <si>
    <t xml:space="preserve">Source</t>
  </si>
  <si>
    <t xml:space="preserve">Category</t>
  </si>
  <si>
    <t xml:space="preserve">BEDE Section</t>
  </si>
  <si>
    <t xml:space="preserve">BEDE Requirement</t>
  </si>
  <si>
    <t xml:space="preserve">Roadmap Item #</t>
  </si>
  <si>
    <t xml:space="preserve">Roadmap Item (Summary Of Tasks)</t>
  </si>
  <si>
    <t xml:space="preserve">Roadmap Estimate (MD)</t>
  </si>
  <si>
    <t xml:space="preserve">Phase</t>
  </si>
  <si>
    <t xml:space="preserve">Build Location (Missing / Conflict items)</t>
  </si>
  <si>
    <t xml:space="preserve">What Goes Inside Mifos vs Outside</t>
  </si>
  <si>
    <t xml:space="preserve">BEDE Details to Add to Roadmap Item / New Item</t>
  </si>
  <si>
    <t xml:space="preserve">Fineract / FOO Platform Baseline</t>
  </si>
  <si>
    <t xml:space="preserve">Gap / What to Check</t>
  </si>
  <si>
    <t xml:space="preserve">Recommended Action</t>
  </si>
  <si>
    <t xml:space="preserve">FR-01</t>
  </si>
  <si>
    <t xml:space="preserve">BEDE Scope</t>
  </si>
  <si>
    <t xml:space="preserve">Functional</t>
  </si>
  <si>
    <t xml:space="preserve">4.1 Product configuration</t>
  </si>
  <si>
    <t xml:space="preserve">Fully configurable Sharia-compliant financing products with no code changes: term, min/max amount, profit rate, fees, repayment frequency, grace periods, eligibility tags.</t>
  </si>
  <si>
    <t xml:space="preserve">#29, #10.1, #11.7</t>
  </si>
  <si>
    <t xml:space="preserve">#29 Business &amp; System Configuration Management
#10.1 Murabaha Profit Configuration, Fixed Profit Schedule Allocation &amp; Rescheduling Controls
#11.7 Grace / Moratorium / Balloon / Step-up Structures</t>
  </si>
  <si>
    <t xml:space="preserve">#29: 5 + #10.1: 6 + #11.7: 2</t>
  </si>
  <si>
    <t xml:space="preserve">P1</t>
  </si>
  <si>
    <t xml:space="preserve">—</t>
  </si>
  <si>
    <t xml:space="preserve">#29: products configurable with no code – term, min/max amount, profit rate, fees, repayment frequency, grace periods. NEW: eligibility tags on product.</t>
  </si>
  <si>
    <t xml:space="preserve">Native: term, min/max, rate, fees, frequency, grace are standard Fineract product settings.</t>
  </si>
  <si>
    <t xml:space="preserve">"Eligibility tags" on products are not in any roadmap item and are not native.</t>
  </si>
  <si>
    <t xml:space="preserve">Add product eligibility-tag attribute that the Eligibility Engine output can match against (ties to FR-02 / INT-02).</t>
  </si>
  <si>
    <t xml:space="preserve">FR-02</t>
  </si>
  <si>
    <t xml:space="preserve">Product variants driven by type of good financed, customer nationality, credit report outcome, and any other attribute exposed by the Eligibility Engine.</t>
  </si>
  <si>
    <t xml:space="preserve">#6</t>
  </si>
  <si>
    <t xml:space="preserve">#6 Risk-Band-Based Product Eligibility &amp; Offer Determination</t>
  </si>
  <si>
    <t xml:space="preserve">#6: 5</t>
  </si>
  <si>
    <t xml:space="preserve">#6: variants driven by type of good financed, customer nationality, credit report outcome and any attribute exposed by BEDE Eligibility Engine (not only FOO score/risk band).</t>
  </si>
  <si>
    <t xml:space="preserve">Custom build.</t>
  </si>
  <si>
    <t xml:space="preserve">Task #6 decides products by FOO score/risk band. BEDE wants variants driven by attributes from THEIR Eligibility Engine (goods type, nationality, bureau outcome).</t>
  </si>
  <si>
    <t xml:space="preserve">Rescope #6 to a generic attribute-to-product rule mapping fed by the BEDE engine; re-estimate.</t>
  </si>
  <si>
    <t xml:space="preserve">FR-03</t>
  </si>
  <si>
    <t xml:space="preserve">Customisable, reusable repayment schedule templates incl. irregular patterns (pay one month, skip two), bullet, step-up/step-down, seasonal.</t>
  </si>
  <si>
    <t xml:space="preserve">#11.7</t>
  </si>
  <si>
    <t xml:space="preserve">#11.7 Grace / Moratorium / Balloon / Step-up Structures</t>
  </si>
  <si>
    <t xml:space="preserve">#11.7: 2</t>
  </si>
  <si>
    <t xml:space="preserve">#11.7: reusable, customisable schedule templates; irregular patterns (pay 1 month / skip 2), bullet, step-up AND step-down, seasonal.</t>
  </si>
  <si>
    <t xml:space="preserve">Partial: Fineract supports variable instalments &amp; re-amortisation but no reusable schedule templates; skip/seasonal patterns are custom.</t>
  </si>
  <si>
    <t xml:space="preserve">#11.7 (2 MD) covers grace/balloon/step-up only. Reusable templates, skip-N-months and seasonal patterns are not covered.</t>
  </si>
  <si>
    <t xml:space="preserve">Add "Schedule template engine" task; 2 MD is very likely underestimated.</t>
  </si>
  <si>
    <t xml:space="preserve">FR-04</t>
  </si>
  <si>
    <t xml:space="preserve">Configurable repayment allocation order (fees/profit/principal), day-count convention, rounding rules, weekend &amp; public-holiday handling.</t>
  </si>
  <si>
    <t xml:space="preserve">#27, #29</t>
  </si>
  <si>
    <t xml:space="preserve">#27 EMI schedule, oldest-unpaid-first allocation, partial repayment held until full EMI
#29 Business &amp; System Configuration Management</t>
  </si>
  <si>
    <t xml:space="preserve">#27: 2.5 + #29: 5</t>
  </si>
  <si>
    <t xml:space="preserve">P1, P2</t>
  </si>
  <si>
    <t xml:space="preserve">Configure: allocation order fees/profit/principal, day-count, rounding, weekend &amp; public-holiday handling.</t>
  </si>
  <si>
    <t xml:space="preserve">Native: payment allocation strategies, days-in-year/month, currency rounding, holidays &amp; working days.</t>
  </si>
  <si>
    <t xml:space="preserve">Validate holiday/weekend shifting behaves correctly with fixed Murabaha profit (no extra profit on shifted dates).</t>
  </si>
  <si>
    <t xml:space="preserve">Configuration + validation only.</t>
  </si>
  <si>
    <t xml:space="preserve">FR-05</t>
  </si>
  <si>
    <t xml:space="preserve">Product versioning: changes apply to new contracts only unless explicitly migrated; full history retained.</t>
  </si>
  <si>
    <t xml:space="preserve">Inside Mifos / Fineract</t>
  </si>
  <si>
    <t xml:space="preserve">Fineract loan-product module: product version entity, version history, "apply to new contracts only" + controlled migration; Mifos web UI screens.</t>
  </si>
  <si>
    <t xml:space="preserve">NEW roadmap item: Product versioning: changes apply to new contracts only unless explicitly migrated; full history retained.</t>
  </si>
  <si>
    <t xml:space="preserve">Partial: existing loans keep their terms, but Fineract has no product version entity or version history.</t>
  </si>
  <si>
    <t xml:space="preserve">No roadmap item covers product versioning or explicit migration of contracts to a new version.</t>
  </si>
  <si>
    <t xml:space="preserve">Add task: product version model + history + controlled migration of existing contracts.</t>
  </si>
  <si>
    <t xml:space="preserve">FR-06</t>
  </si>
  <si>
    <t xml:space="preserve">Sharia Supervisory Board approval recorded against each product version as an acceptance gate before activation.</t>
  </si>
  <si>
    <t xml:space="preserve">Fineract: product status Draft → SSB-Approved → Active, approval record (approver, date, document) per version, activation blocked without it; Mifos UI.</t>
  </si>
  <si>
    <t xml:space="preserve">NEW roadmap item: Sharia Supervisory Board approval recorded against each product version as an acceptance gate before activation.</t>
  </si>
  <si>
    <t xml:space="preserve">Not in roadmap. Depends on FR-05 versioning. (#10.2 maker-checker is contract-level, not product-level.)</t>
  </si>
  <si>
    <t xml:space="preserve">Add task: SSB approval record + activation gate per product version.</t>
  </si>
  <si>
    <t xml:space="preserve">FR-07</t>
  </si>
  <si>
    <t xml:space="preserve">4.2 Murabaha mechanics</t>
  </si>
  <si>
    <t xml:space="preserve">Explicit Murabaha contract model: cost price, profit amount, total sale price; commodity purchase then sale to customer.</t>
  </si>
  <si>
    <t xml:space="preserve">#10.1, #10.2, #11.5</t>
  </si>
  <si>
    <t xml:space="preserve">#10.1 Murabaha Profit Configuration, Fixed Profit Schedule Allocation &amp; Rescheduling Controls
#10.2 Murabaha Lifecycle &amp; Sale Execution Controls, Maker-Checker, Audit &amp; Evidence
#11.5 Tawarruq &amp; Commodity Transaction Integration</t>
  </si>
  <si>
    <t xml:space="preserve">#10.1: 6 + #10.2: 4 + #11.5: 12</t>
  </si>
  <si>
    <t xml:space="preserve">#10.1/#10.2/#11.5: explicit cost price, profit amount, total sale price; commodity purchase then sale to customer.</t>
  </si>
  <si>
    <t xml:space="preserve">FOO Murabaha scope (custom on Fineract).</t>
  </si>
  <si>
    <t xml:space="preserve">Covered by Islamic Financing core + commodity integration.</t>
  </si>
  <si>
    <t xml:space="preserve">Keep.</t>
  </si>
  <si>
    <t xml:space="preserve">FR-08</t>
  </si>
  <si>
    <t xml:space="preserve">Murabaha sale contract &amp; offer/acceptance documents in Arabic and English, presented and e-signed in the app before disbursement, stored with the loan record.</t>
  </si>
  <si>
    <t xml:space="preserve">#11.1, #10.7</t>
  </si>
  <si>
    <t xml:space="preserve">#11.1 Murabaha Documents &amp; Template Management
#10.7 CBB Consumer Disclosure</t>
  </si>
  <si>
    <t xml:space="preserve">#11.1: 6 + #10.7: 3</t>
  </si>
  <si>
    <t xml:space="preserve">#11.1: Murabaha sale contract + offer/acceptance documents in Arabic &amp; English; presented and e-signed in the app before disbursement; stored with the loan record.</t>
  </si>
  <si>
    <t xml:space="preserve">Native document storage; templates/e-sign custom.</t>
  </si>
  <si>
    <t xml:space="preserve">#11.1 covers templates. In-app presentation + e-signature capture + gate "no disbursement before signature" is not explicit.</t>
  </si>
  <si>
    <t xml:space="preserve">Add e-signature/acceptance capture via mobile app (INT-01) and a pre-disbursement gate.</t>
  </si>
  <si>
    <t xml:space="preserve">FR-09</t>
  </si>
  <si>
    <t xml:space="preserve">Profit recognition rules configurable per product; no compounding of profit; late payment charges routed to a designated charity account, not income.</t>
  </si>
  <si>
    <t xml:space="preserve">#10.5, #10.6</t>
  </si>
  <si>
    <t xml:space="preserve">#10.5 Late Payment &amp; Charity Accounting, Management
#10.6 Murabaha Accounting, GL, Profit Suspension &amp; Odoo Integration</t>
  </si>
  <si>
    <t xml:space="preserve">#10.5: 7 + #10.6: 18</t>
  </si>
  <si>
    <t xml:space="preserve">#10.5/#10.6: profit recognition configurable per product; no compounding; late charges to designated charity account, not income.</t>
  </si>
  <si>
    <t xml:space="preserve">Custom (FOO Murabaha).</t>
  </si>
  <si>
    <t xml:space="preserve">Covered.</t>
  </si>
  <si>
    <t xml:space="preserve">FR-10</t>
  </si>
  <si>
    <t xml:space="preserve">Profit rebate (ibra') rules configurable per product for early AND partial settlement.</t>
  </si>
  <si>
    <t xml:space="preserve">#10.3, #15</t>
  </si>
  <si>
    <t xml:space="preserve">#10.3 Ibra' &amp; Early Settlement
#15 Early Settlement Interest / Profit Adjustment</t>
  </si>
  <si>
    <t xml:space="preserve">#10.3: 2 + #15: 2</t>
  </si>
  <si>
    <t xml:space="preserve">#10.3/#15: ibra' rules configurable per product for early AND partial settlement.</t>
  </si>
  <si>
    <t xml:space="preserve">Custom.</t>
  </si>
  <si>
    <t xml:space="preserve">#10.3 / #15 cover ibra' on early settlement. Ibra' on PARTIAL settlement is not explicit.</t>
  </si>
  <si>
    <t xml:space="preserve">Extend #10.3 to partial settlement (links to FR-19).</t>
  </si>
  <si>
    <t xml:space="preserve">FR-11</t>
  </si>
  <si>
    <t xml:space="preserve">Full accounting sub-ledger: chart of accounts, automated journal postings for every financial event, month-end &amp; year-end close, audit-ready trial balance.</t>
  </si>
  <si>
    <t xml:space="preserve">#10.6</t>
  </si>
  <si>
    <t xml:space="preserve">#10.6 Murabaha Accounting, GL, Profit Suspension &amp; Odoo Integration</t>
  </si>
  <si>
    <t xml:space="preserve">#10.6: 18</t>
  </si>
  <si>
    <t xml:space="preserve">#10.6: chart of accounts, automated postings for every financial event, month-end AND year-end close, audit-ready trial balance.</t>
  </si>
  <si>
    <t xml:space="preserve">Native: CoA, auto-posting, accounting closure, trial balance.</t>
  </si>
  <si>
    <t xml:space="preserve">Validate year-end close (P&amp;L to retained earnings) – Fineract closure is period lock only.</t>
  </si>
  <si>
    <t xml:space="preserve">Validate year-end process; may need a small task.</t>
  </si>
  <si>
    <t xml:space="preserve">FR-12</t>
  </si>
  <si>
    <t xml:space="preserve">IFRS 9 / AAOIFI staging &amp; provisioning outputs (DPD, stage classification, ECL inputs) per loan and portfolio.</t>
  </si>
  <si>
    <t xml:space="preserve">#11.3, #31</t>
  </si>
  <si>
    <t xml:space="preserve">#11.3 IFRS 9 / CBB ECL Integration
#31 AAOIFI / FAS Reporting</t>
  </si>
  <si>
    <t xml:space="preserve">#11.3: 7 + #31: N/A</t>
  </si>
  <si>
    <t xml:space="preserve">#11.3/#31: per loan &amp; portfolio – DPD, stage classification, ECL inputs (IFRS 9 / AAOIFI).</t>
  </si>
  <si>
    <t xml:space="preserve">Partial native (provisioning), staging/ECL custom.</t>
  </si>
  <si>
    <t xml:space="preserve">#31 AAOIFI/FAS reporting has no estimate (N/A).</t>
  </si>
  <si>
    <t xml:space="preserve">Estimate #31.</t>
  </si>
  <si>
    <t xml:space="preserve">FR-13</t>
  </si>
  <si>
    <t xml:space="preserve">Daily automated reconciliation of the LMS sub-ledger against the Core Banking System with exception reporting.</t>
  </si>
  <si>
    <t xml:space="preserve">#21</t>
  </si>
  <si>
    <t xml:space="preserve">#21 External Repayment &amp; Bank Reconciliation Integration</t>
  </si>
  <si>
    <t xml:space="preserve">#21: 10</t>
  </si>
  <si>
    <t xml:space="preserve">#21: daily automated reconciliation of LMS sub-ledger vs Core Banking System, with exception reporting.</t>
  </si>
  <si>
    <t xml:space="preserve">#21 is payment-gateway/bank reconciliation. LMS-vs-CBS GL reconciliation and the exception report are not explicit.</t>
  </si>
  <si>
    <t xml:space="preserve">Extend #21 or add a dedicated CBS reconciliation + exception report task.</t>
  </si>
  <si>
    <t xml:space="preserve">FR-14</t>
  </si>
  <si>
    <t xml:space="preserve">4.3 Loan lifecycle</t>
  </si>
  <si>
    <t xml:space="preserve">Application from the app; LMS receives eligibility output and returns eligible products, terms and indicative schedules.</t>
  </si>
  <si>
    <t xml:space="preserve">#3, #6, #17</t>
  </si>
  <si>
    <t xml:space="preserve">#3 Borrower Eligibility Check &amp; Decisioning API
#6 Risk-Band-Based Product Eligibility &amp; Offer Determination
#17 LMS Loan Origination &amp; Status Workflow Enhancements</t>
  </si>
  <si>
    <t xml:space="preserve">#3: not estimated + #6: 5 + #17: 3</t>
  </si>
  <si>
    <t xml:space="preserve">#3/#6/#17: LMS receives eligibility output from BEDE engine; returns eligible products, terms and indicative schedules to the app.</t>
  </si>
  <si>
    <t xml:space="preserve">Native: schedule preview (calculate-schedule API). Product filtering custom.</t>
  </si>
  <si>
    <t xml:space="preserve">Tasks #3/#6 assume FOO decides eligibility. BEDE: the LMS CONSUMES the in-house engine output (engine is out of scope §3.2). INT-02 direction still TBD.</t>
  </si>
  <si>
    <t xml:space="preserve">Rescope #3 to "consume eligibility output → return products/terms/indicative schedule". Close INT-02 TBD first.</t>
  </si>
  <si>
    <t xml:space="preserve">FR-15</t>
  </si>
  <si>
    <t xml:space="preserve">Approval workflow with configurable stages, maker-checker, and automated approval where rules permit.</t>
  </si>
  <si>
    <t xml:space="preserve">#17</t>
  </si>
  <si>
    <t xml:space="preserve">#17 LMS Loan Origination &amp; Status Workflow Enhancements</t>
  </si>
  <si>
    <t xml:space="preserve">#17: 3</t>
  </si>
  <si>
    <t xml:space="preserve">#17: configurable approval stages, maker-checker, automated approval where rules permit.</t>
  </si>
  <si>
    <t xml:space="preserve">Native maker-checker; multi-stage approval and rule-based auto-approval are custom.</t>
  </si>
  <si>
    <t xml:space="preserve">#17 covers status workflow, not configurable approval stages or auto-approval rules.</t>
  </si>
  <si>
    <t xml:space="preserve">Add/extend: configurable approval stages + auto-approve rules.</t>
  </si>
  <si>
    <t xml:space="preserve">FR-16</t>
  </si>
  <si>
    <t xml:space="preserve">Disbursement to customer account or merchant/commodity counterparty, status tracked against Core Banking confirmation.</t>
  </si>
  <si>
    <t xml:space="preserve">#11.5</t>
  </si>
  <si>
    <t xml:space="preserve">#11.5 Tawarruq &amp; Commodity Transaction Integration</t>
  </si>
  <si>
    <t xml:space="preserve">#11.5: 12</t>
  </si>
  <si>
    <t xml:space="preserve">Split – Mifos + outside</t>
  </si>
  <si>
    <t xml:space="preserve">Mifos: disbursement state "pending CBS confirmation", payee type (customer / merchant / commodity counterparty), business events. Outside: integration adapter that calls the CBS payout and returns the confirmation callback.</t>
  </si>
  <si>
    <t xml:space="preserve">NEW: disbursement to customer account or merchant/commodity counterparty; status tracked against Core Banking confirmation.</t>
  </si>
  <si>
    <t xml:space="preserve">Custom (Optasia comparison: external disbursement &amp; callback = Custom Build).</t>
  </si>
  <si>
    <t xml:space="preserve">No roadmap item for outbound disbursement to CBS / merchant and confirmation tracking. #21 is inbound only.</t>
  </si>
  <si>
    <t xml:space="preserve">Add task: CBS disbursement integration (merchant/counterparty payout + confirmation callback).</t>
  </si>
  <si>
    <t xml:space="preserve">FR-17</t>
  </si>
  <si>
    <t xml:space="preserve">Repayment via the app through integrated payment gateways; repayments received through Core Banking also matched and applied.</t>
  </si>
  <si>
    <t xml:space="preserve">#21, #27</t>
  </si>
  <si>
    <t xml:space="preserve">#21 External Repayment &amp; Bank Reconciliation Integration
#27 EMI schedule, oldest-unpaid-first allocation, partial repayment held until full EMI</t>
  </si>
  <si>
    <t xml:space="preserve">#21: 10 + #27: 2.5</t>
  </si>
  <si>
    <t xml:space="preserve">#21/#27: repayment via app through payment gateways; repayments received via Core Banking matched and applied.</t>
  </si>
  <si>
    <t xml:space="preserve">Native repayment posting; gateway/CBS matching custom.</t>
  </si>
  <si>
    <t xml:space="preserve">Covered by #21.</t>
  </si>
  <si>
    <t xml:space="preserve">FR-18</t>
  </si>
  <si>
    <t xml:space="preserve">Early settlement configurable per product: without profit, with profit, fixed fee, or % of settled amount. Settlement quote generated in-app.</t>
  </si>
  <si>
    <t xml:space="preserve">#12, #13, #14, #15, #10.3</t>
  </si>
  <si>
    <t xml:space="preserve">#12 Early Settlement Event / Trigger Support
#13 Early Settlement Fee / Charge Support
#14 Early Settlement Fee Waiver
#15 Early Settlement Interest / Profit Adjustment
#10.3 Ibra' &amp; Early Settlement</t>
  </si>
  <si>
    <t xml:space="preserve">#12: 2 + #13: 3 + #14: 2 + #15: 2 + #10.3: 2</t>
  </si>
  <si>
    <t xml:space="preserve">#12–#15: options per product – settle without profit / with profit / fixed fee / % of settled amount; settlement quote generated in-app.</t>
  </si>
  <si>
    <t xml:space="preserve">Native payoff quote; fee/profit options custom.</t>
  </si>
  <si>
    <t xml:space="preserve">Fee "as % of settled amount" option to be confirmed in #13. In-app quote depends on INT-01.</t>
  </si>
  <si>
    <t xml:space="preserve">Keep; confirm % option.</t>
  </si>
  <si>
    <t xml:space="preserve">FR-19</t>
  </si>
  <si>
    <t xml:space="preserve">Partial payment with the same charging options as FR-18 and automatic schedule recalculation.</t>
  </si>
  <si>
    <t xml:space="preserve">#27</t>
  </si>
  <si>
    <t xml:space="preserve">#27 EMI schedule, oldest-unpaid-first allocation, partial repayment held until full EMI</t>
  </si>
  <si>
    <t xml:space="preserve">#27: 2.5</t>
  </si>
  <si>
    <t xml:space="preserve">P2</t>
  </si>
  <si>
    <t xml:space="preserve">Fineract: replace #27 behaviour – apply partial prepayment, charge options per FR-18, re-amortise / recalculate Murabaha schedule.</t>
  </si>
  <si>
    <t xml:space="preserve">#27 → change to: partial payment applied immediately with the same charge options as FR-18 + automatic schedule recalculation.</t>
  </si>
  <si>
    <t xml:space="preserve">Native partial prepayment with re-amortisation.</t>
  </si>
  <si>
    <t xml:space="preserve">#27 HOLDS partial repayments until a full EMI is reached — the opposite of BEDE (apply partial prepayment, charge per FR-18, recalc schedule).</t>
  </si>
  <si>
    <t xml:space="preserve">Replace #27 behaviour with partial-prepayment + charge options + schedule recalculation.</t>
  </si>
  <si>
    <t xml:space="preserve">FR-20</t>
  </si>
  <si>
    <t xml:space="preserve">Loan top-up with configurable eligibility, re-underwriting via Eligibility Engine, treated as new or consolidated contract per product.</t>
  </si>
  <si>
    <t xml:space="preserve">Mifos: Murabaha top-up as new or consolidated contract (closing old balance, new sale price, accounting). Outside: re-underwriting call to BEDE Eligibility Engine via integration layer.</t>
  </si>
  <si>
    <t xml:space="preserve">NEW roadmap item: Loan top-up with configurable eligibility, re-underwriting via Eligibility Engine, treated as new or consolidated contract per product.</t>
  </si>
  <si>
    <t xml:space="preserve">Native top-up exists for conventional loans; Murabaha consolidation is custom.</t>
  </si>
  <si>
    <t xml:space="preserve">Not in roadmap.</t>
  </si>
  <si>
    <t xml:space="preserve">Add task: Murabaha top-up (new vs consolidated contract) + re-underwriting call.</t>
  </si>
  <si>
    <t xml:space="preserve">FR-21</t>
  </si>
  <si>
    <t xml:space="preserve">Multiple concurrent finances per customer, with portfolio-level exposure limits configurable per product and customer segment.</t>
  </si>
  <si>
    <t xml:space="preserve">#9</t>
  </si>
  <si>
    <t xml:space="preserve">#9 Enforce one active loan per customer</t>
  </si>
  <si>
    <t xml:space="preserve">#9: 1</t>
  </si>
  <si>
    <t xml:space="preserve">Fineract: allow multiple active loans; exposure-limit check per product &amp; customer segment at application/approval.</t>
  </si>
  <si>
    <t xml:space="preserve">#9 → change to: multiple concurrent finances per customer + exposure limits configurable per product and customer segment.</t>
  </si>
  <si>
    <t xml:space="preserve">Native: multiple loans per client. Exposure limits custom.</t>
  </si>
  <si>
    <t xml:space="preserve">#9 ENFORCES ONE active loan per customer — contradicts BEDE requirement.</t>
  </si>
  <si>
    <t xml:space="preserve">Replace #9 with configurable exposure limits per product/segment.</t>
  </si>
  <si>
    <t xml:space="preserve">FR-22</t>
  </si>
  <si>
    <t xml:space="preserve">Deferment for a configurable number of days/months, with limits per product and configurable treatment of profit during deferment.</t>
  </si>
  <si>
    <t xml:space="preserve">#11.7, #10.1</t>
  </si>
  <si>
    <t xml:space="preserve">#11.7 Grace / Moratorium / Balloon / Step-up Structures
#10.1 Murabaha Profit Configuration, Fixed Profit Schedule Allocation &amp; Rescheduling Controls</t>
  </si>
  <si>
    <t xml:space="preserve">#11.7: 2 + #10.1: 6</t>
  </si>
  <si>
    <t xml:space="preserve">#11.7/#10.1: deferment for configurable days or months; limits per product; configurable profit treatment during deferment.</t>
  </si>
  <si>
    <t xml:space="preserve">Native loan reschedule; limits per product custom.</t>
  </si>
  <si>
    <t xml:space="preserve">#11.7 covers moratorium at origination; post-disbursement customer deferment with per-product limits not explicit.</t>
  </si>
  <si>
    <t xml:space="preserve">Extend #10.1 rescheduling controls to deferment rules.</t>
  </si>
  <si>
    <t xml:space="preserve">FR-23</t>
  </si>
  <si>
    <t xml:space="preserve">Restructuring and rescheduling (staff-initiated) with maker-checker approval and full audit trail.</t>
  </si>
  <si>
    <t xml:space="preserve">#10.1</t>
  </si>
  <si>
    <t xml:space="preserve">#10.1 Murabaha Profit Configuration, Fixed Profit Schedule Allocation &amp; Rescheduling Controls</t>
  </si>
  <si>
    <t xml:space="preserve">#10.1: 6</t>
  </si>
  <si>
    <t xml:space="preserve">#10.1: staff-initiated restructuring/rescheduling with maker-checker and full audit trail.</t>
  </si>
  <si>
    <t xml:space="preserve">Native reschedule + maker-checker.</t>
  </si>
  <si>
    <t xml:space="preserve">FR-24</t>
  </si>
  <si>
    <t xml:space="preserve">Write-off, fee waiver, refund and overpayment handling with maker-checker approval.</t>
  </si>
  <si>
    <t xml:space="preserve">#28, #14</t>
  </si>
  <si>
    <t xml:space="preserve">#28 Partial &amp; Full Loan Write-Off
#14 Early Settlement Fee Waiver</t>
  </si>
  <si>
    <t xml:space="preserve">#28: 2 + #14: 2</t>
  </si>
  <si>
    <t xml:space="preserve">#28/#14: partial &amp; full write-off, fee waiver, refund, overpayment handling – all with maker-checker.</t>
  </si>
  <si>
    <t xml:space="preserve">Native: write-off, waive charge, overpayment/credit-balance refund, maker-checker.</t>
  </si>
  <si>
    <t xml:space="preserve">#28 write-off (partial write-off to validate); #14 is early-settlement waiver only. General waiver/refund/overpayment not listed (likely native).</t>
  </si>
  <si>
    <t xml:space="preserve">Validate native waiver/refund/overpayment for Murabaha; no new task expected.</t>
  </si>
  <si>
    <t xml:space="preserve">FR-25</t>
  </si>
  <si>
    <t xml:space="preserve">Customer statements, repayment schedules and settlement quotes on demand from the app and the back-office console.</t>
  </si>
  <si>
    <t xml:space="preserve">Mifos: statement data (transactions, schedule, payoff quote APIs – mostly native). Outside: statement rendering (AR/EN PDF) in a document/reporting service and exposure to the app via the mobile backend.</t>
  </si>
  <si>
    <t xml:space="preserve">NEW roadmap item: Customer statements, repayment schedules and settlement quotes on demand from the app and the back-office console.</t>
  </si>
  <si>
    <t xml:space="preserve">Native schedule &amp; payoff; customer statement generation is not native.</t>
  </si>
  <si>
    <t xml:space="preserve">No roadmap item for statement generation (PDF/AR-EN) and exposure to app.</t>
  </si>
  <si>
    <t xml:space="preserve">Add task: customer statement generation + app API.</t>
  </si>
  <si>
    <t xml:space="preserve">FR-26</t>
  </si>
  <si>
    <t xml:space="preserve">4.4 Collections &amp; defaults</t>
  </si>
  <si>
    <t xml:space="preserve">Default &amp; delinquency rules configurable per product (DPD thresholds, amount thresholds, missed instalment count).</t>
  </si>
  <si>
    <t xml:space="preserve">#26, #35</t>
  </si>
  <si>
    <t xml:space="preserve">#26 90+ DPD Profit Accrual Suspension
#35 Aging &amp; Delinquency Reporting</t>
  </si>
  <si>
    <t xml:space="preserve">#26: 2.5 + #35: N/A</t>
  </si>
  <si>
    <t xml:space="preserve">#26/#35: default/delinquency rules per product – DPD thresholds, amount thresholds, missed-instalment count.</t>
  </si>
  <si>
    <t xml:space="preserve">Native DPD delinquency buckets; amount-threshold &amp; missed-count rules custom.</t>
  </si>
  <si>
    <t xml:space="preserve">No roadmap item for amount / missed-count rules (#35 is reporting only).</t>
  </si>
  <si>
    <t xml:space="preserve">Add small task or validate config.</t>
  </si>
  <si>
    <t xml:space="preserve">FR-27</t>
  </si>
  <si>
    <t xml:space="preserve">Delinquency staging (pre-due reminder, 1–30, 31–60, 61–90, 90+, legal) with configurable names, thresholds and actions.</t>
  </si>
  <si>
    <t xml:space="preserve">#16, #35</t>
  </si>
  <si>
    <t xml:space="preserve">#16 Loan Notifications &amp; Reminder Orchestration
#35 Aging &amp; Delinquency Reporting</t>
  </si>
  <si>
    <t xml:space="preserve">#16: 4 + #35: N/A</t>
  </si>
  <si>
    <t xml:space="preserve">#16/#35: stages pre-due reminder, 1–30, 31–60, 61–90, 90+, legal – configurable names, thresholds and actions.</t>
  </si>
  <si>
    <t xml:space="preserve">Native buckets with names/ranges; stage-driven actions &amp; pre-due stage custom.</t>
  </si>
  <si>
    <t xml:space="preserve">Stage "actions" (trigger notification/queue/legal) not covered.</t>
  </si>
  <si>
    <t xml:space="preserve">Link delinquency stages to #16 notifications and FR-30 queues.</t>
  </si>
  <si>
    <t xml:space="preserve">FR-28</t>
  </si>
  <si>
    <t xml:space="preserve">Automated notifications to customers and internal teams, templates configurable per product, per stage, per channel.</t>
  </si>
  <si>
    <t xml:space="preserve">#16</t>
  </si>
  <si>
    <t xml:space="preserve">#16 Loan Notifications &amp; Reminder Orchestration</t>
  </si>
  <si>
    <t xml:space="preserve">#16: 4</t>
  </si>
  <si>
    <t xml:space="preserve">#16: notifications to customers AND internal teams; templates per product, per stage, per channel.</t>
  </si>
  <si>
    <t xml:space="preserve">Partial native (hooks/events); orchestration custom.</t>
  </si>
  <si>
    <t xml:space="preserve">Internal-team notifications to confirm in #16.</t>
  </si>
  <si>
    <t xml:space="preserve">FR-29</t>
  </si>
  <si>
    <t xml:space="preserve">Channels: SMS, push, email, WhatsApp; Arabic &amp; English; delivery status tracked.</t>
  </si>
  <si>
    <t xml:space="preserve">#16: channels SMS, push, email, WhatsApp; Arabic &amp; English; delivery status tracked.</t>
  </si>
  <si>
    <t xml:space="preserve">WhatsApp channel and delivery-status tracking not explicit in #16.</t>
  </si>
  <si>
    <t xml:space="preserve">Extend #16.</t>
  </si>
  <si>
    <t xml:space="preserve">FR-30</t>
  </si>
  <si>
    <t xml:space="preserve">Collections work queues in back-office console, promise-to-pay tracking and contact history.</t>
  </si>
  <si>
    <t xml:space="preserve">Outside Mifos</t>
  </si>
  <si>
    <t xml:space="preserve">Recommended outside: collections tool/CRM (work queues, promise-to-pay, contact history) fed by Fineract delinquency events &amp; APIs. Alternative: custom Mifos module (larger effort).</t>
  </si>
  <si>
    <t xml:space="preserve">NEW roadmap item: Collections work queues in back-office console, promise-to-pay tracking and contact history.</t>
  </si>
  <si>
    <t xml:space="preserve">Not native (notes only).</t>
  </si>
  <si>
    <t xml:space="preserve">Not in roadmap. Also not in Optasia comparison.</t>
  </si>
  <si>
    <t xml:space="preserve">Add task: collections queues + PTP + contact history (or integrate a collections tool).</t>
  </si>
  <si>
    <t xml:space="preserve">FR-31</t>
  </si>
  <si>
    <t xml:space="preserve">4.5 Back-office console</t>
  </si>
  <si>
    <t xml:space="preserve">Role-based access control with SSO (SAML/OIDC) and MFA; segregation of duties enforced.</t>
  </si>
  <si>
    <t xml:space="preserve">Outside: identity provider (Keycloak or Bede IdP) for SAML/OIDC + MFA. Mifos: Fineract configured as OAuth2/OIDC resource server; roles &amp; segregation-of-duties matrix in Fineract RBAC.</t>
  </si>
  <si>
    <t xml:space="preserve">NEW roadmap item: Role-based access control with SSO (SAML/OIDC) and MFA; segregation of duties enforced.</t>
  </si>
  <si>
    <t xml:space="preserve">Native RBAC &amp; 2FA; SSO via OAuth2/OIDC is configurable but needs integration.</t>
  </si>
  <si>
    <t xml:space="preserve">No roadmap item for SSO/IdP integration (INT-10).</t>
  </si>
  <si>
    <t xml:space="preserve">Add task: SSO (SAML/OIDC) + MFA + SoD role design.</t>
  </si>
  <si>
    <t xml:space="preserve">FR-32</t>
  </si>
  <si>
    <t xml:space="preserve">Maker-checker on all configuration changes and financial adjustments.</t>
  </si>
  <si>
    <t xml:space="preserve">#29</t>
  </si>
  <si>
    <t xml:space="preserve">#29 Business &amp; System Configuration Management</t>
  </si>
  <si>
    <t xml:space="preserve">#29: 5</t>
  </si>
  <si>
    <t xml:space="preserve">No roadmap item – configure during implementation.</t>
  </si>
  <si>
    <t xml:space="preserve">Native maker-checker per permission.</t>
  </si>
  <si>
    <t xml:space="preserve">Configuration only.</t>
  </si>
  <si>
    <t xml:space="preserve">Configure during implementation.</t>
  </si>
  <si>
    <t xml:space="preserve">FR-33</t>
  </si>
  <si>
    <t xml:space="preserve">Immutable audit trail of every configuration change, data change and user action, exportable for Internal Audit and CBB.</t>
  </si>
  <si>
    <t xml:space="preserve">#7</t>
  </si>
  <si>
    <t xml:space="preserve">#7 Persist decisioning snapshot for audit and care portal</t>
  </si>
  <si>
    <t xml:space="preserve">#7: 1.5</t>
  </si>
  <si>
    <t xml:space="preserve">#7: immutable audit trail of every config change, data change and user action; exportable for Internal Audit and CBB.</t>
  </si>
  <si>
    <t xml:space="preserve">Native command audit for write actions; read/view actions and export are not complete.</t>
  </si>
  <si>
    <t xml:space="preserve">#7 is decision snapshot only. Full user-action audit + export not covered.</t>
  </si>
  <si>
    <t xml:space="preserve">Add task: audit completeness + export.</t>
  </si>
  <si>
    <t xml:space="preserve">FR-34</t>
  </si>
  <si>
    <t xml:space="preserve">Customer 360: profile, contracts, schedules, payments, communications, documents.</t>
  </si>
  <si>
    <t xml:space="preserve">#7: Customer 360 – profile, contracts, schedules, payments, communications, documents.</t>
  </si>
  <si>
    <t xml:space="preserve">Native client view (profile, loans, schedule, payments, documents).</t>
  </si>
  <si>
    <t xml:space="preserve">Communications history is missing (depends on #16 logging).</t>
  </si>
  <si>
    <t xml:space="preserve">Add communications log to client view.</t>
  </si>
  <si>
    <t xml:space="preserve">FR-35</t>
  </si>
  <si>
    <t xml:space="preserve">4.6 Reporting &amp; data</t>
  </si>
  <si>
    <t xml:space="preserve">Analytics access to structured loan data with zero impact on transactional system via read replica or CDC feed to Bede DWH.</t>
  </si>
  <si>
    <t xml:space="preserve">Bede AWS: RDS read replica or CDC (e.g. Debezium/DMS) to Bede data warehouse. No Fineract change; FOO provides schema &amp; data dictionary.</t>
  </si>
  <si>
    <t xml:space="preserve">NEW roadmap item: Analytics access to structured loan data with zero impact on transactional system via read replica or CDC feed to Bede DWH.</t>
  </si>
  <si>
    <t xml:space="preserve">Not native (infra).</t>
  </si>
  <si>
    <t xml:space="preserve">Add task: read-replica / CDC (e.g. Debezium) feed spec; coordinate with Bede AWS.</t>
  </si>
  <si>
    <t xml:space="preserve">FR-36</t>
  </si>
  <si>
    <t xml:space="preserve">Full data model documentation: ERD and data dictionary, maintained across releases.</t>
  </si>
  <si>
    <t xml:space="preserve">Documentation deliverable (ERD + data dictionary of Fineract + custom tables), maintained per release.</t>
  </si>
  <si>
    <t xml:space="preserve">NEW roadmap item: Full data model documentation: ERD and data dictionary, maintained across releases.</t>
  </si>
  <si>
    <t xml:space="preserve">Deliverable.</t>
  </si>
  <si>
    <t xml:space="preserve">No roadmap item / effort.</t>
  </si>
  <si>
    <t xml:space="preserve">Add documentation effort.</t>
  </si>
  <si>
    <t xml:space="preserve">FR-37</t>
  </si>
  <si>
    <t xml:space="preserve">Structured extracts to support CBB regulatory returns and Sharia audit.</t>
  </si>
  <si>
    <t xml:space="preserve">#34, #31</t>
  </si>
  <si>
    <t xml:space="preserve">#34 Regulatory Reporting – CBB
#31 AAOIFI / FAS Reporting</t>
  </si>
  <si>
    <t xml:space="preserve">#34: N/A + #31: N/A</t>
  </si>
  <si>
    <t xml:space="preserve">#34/#31: structured extracts for CBB regulatory returns and Sharia audit.</t>
  </si>
  <si>
    <t xml:space="preserve">Custom reports.</t>
  </si>
  <si>
    <t xml:space="preserve">#34 and #31 are not estimated (N/A).</t>
  </si>
  <si>
    <t xml:space="preserve">Estimate #31/#34.</t>
  </si>
  <si>
    <t xml:space="preserve">FR-38</t>
  </si>
  <si>
    <t xml:space="preserve">Operational reports: portfolio, disbursements, collections, delinquency aging, settlements, profit recognised.</t>
  </si>
  <si>
    <t xml:space="preserve">#30, #32, #33, #35</t>
  </si>
  <si>
    <t xml:space="preserve">#30 Real-Time Management &amp; Financial Dashboards (profit/yield/deferred profit/aging)
#32 Deferred / Unearned Profit Movement Report
#33 Receivable Balance Movement Report
#35 Aging &amp; Delinquency Reporting</t>
  </si>
  <si>
    <t xml:space="preserve">#30: 2 + #32: N/A + #33: N/A + #35: N/A</t>
  </si>
  <si>
    <t xml:space="preserve">#30/#32/#33/#35: portfolio, disbursements, collections, delinquency aging, settlements, profit recognised.</t>
  </si>
  <si>
    <t xml:space="preserve">Existing LMS dashboard covers portfolio/delinquency/collections (see Dashboard requirements tab).</t>
  </si>
  <si>
    <t xml:space="preserve">Settlements report not explicit; #32/#33/#35 not estimated.</t>
  </si>
  <si>
    <t xml:space="preserve">Add settlements report; estimate reports.</t>
  </si>
  <si>
    <t xml:space="preserve">FR-39</t>
  </si>
  <si>
    <t xml:space="preserve">4.7 Batch processing</t>
  </si>
  <si>
    <t xml:space="preserve">EOD &amp; periodic jobs (accruals, aging, provisioning, dunning, schedule generation) monitored, idempotent, re-runnable, alerting on failure.</t>
  </si>
  <si>
    <t xml:space="preserve">Mifos: COB/scheduler jobs expose status &amp; metrics (mostly native; idempotency to verify for custom Murabaha jobs). Outside: monitoring stack (CloudWatch/Prometheus) alert rules on job failure.</t>
  </si>
  <si>
    <t xml:space="preserve">NEW roadmap item: EOD &amp; periodic jobs (accruals, aging, provisioning, dunning, schedule generation) monitored, idempotent, re-runnable, alerting on failure.</t>
  </si>
  <si>
    <t xml:space="preserve">Native COB/scheduler jobs; failure alerting is not native.</t>
  </si>
  <si>
    <t xml:space="preserve">No roadmap item for job monitoring/alerting.</t>
  </si>
  <si>
    <t xml:space="preserve">Cover under NFR-14/15 observability task.</t>
  </si>
  <si>
    <t xml:space="preserve">INT-01</t>
  </si>
  <si>
    <t xml:space="preserve">Integration</t>
  </si>
  <si>
    <t xml:space="preserve">5 Integrations</t>
  </si>
  <si>
    <t xml:space="preserve">Mobile application &amp; existing mobile backend (built by Foo) – bi-directional, all customer journeys in §4.3.</t>
  </si>
  <si>
    <t xml:space="preserve">#1</t>
  </si>
  <si>
    <t xml:space="preserve">#1 Partner API / Facade (Tamam-facing REST replacing Optasia)</t>
  </si>
  <si>
    <t xml:space="preserve">#1: 6</t>
  </si>
  <si>
    <t xml:space="preserve">#1: bi-directional with Bede mobile app &amp; mobile backend (built by FOO) covering ALL §4.3 journeys – application, approval, disbursement, repayment, early &amp; partial settlement quote, top-up, deferment, statements, e-sign.</t>
  </si>
  <si>
    <t xml:space="preserve">#1 is framed as a Tamam/Optasia-replacement facade. Confirm it covers ALL §4.3 journeys: top-up, deferment, partial payment, statements, e-sign, quotes.</t>
  </si>
  <si>
    <t xml:space="preserve">Re-scope #1 to the full §4.3 journey list; re-estimate.</t>
  </si>
  <si>
    <t xml:space="preserve">INT-02</t>
  </si>
  <si>
    <t xml:space="preserve">Eligibility Engine (in-house) – inbound to LMS. Direction TBD: engine sends outcome &amp; LMS returns products, OR LMS returns all products &amp; engine filters.</t>
  </si>
  <si>
    <t xml:space="preserve">#3, #6</t>
  </si>
  <si>
    <t xml:space="preserve">#3 Borrower Eligibility Check &amp; Decisioning API
#6 Risk-Band-Based Product Eligibility &amp; Offer Determination</t>
  </si>
  <si>
    <t xml:space="preserve">#3: not estimated + #6: 5</t>
  </si>
  <si>
    <t xml:space="preserve">#3/#6: Eligibility Engine → LMS. Direction TBD: (a) engine sends outcome, LMS returns eligible products &amp; terms, or (b) LMS returns all products, engine filters.</t>
  </si>
  <si>
    <t xml:space="preserve">Open TBD in BEDE doc. Engine itself is OUT of scope (§3.2) – see task-only rows #2, #4, #5.</t>
  </si>
  <si>
    <t xml:space="preserve">Close the TBD with BEDE before estimating #3/#6.</t>
  </si>
  <si>
    <t xml:space="preserve">INT-03</t>
  </si>
  <si>
    <t xml:space="preserve">Commodity platform – bi-directional; purchase &amp; sale confirmation for Sharia compliance.</t>
  </si>
  <si>
    <t xml:space="preserve">#11.5: bi-directional – commodity purchase and sale confirmation for Sharia compliance.</t>
  </si>
  <si>
    <t xml:space="preserve">Covered (12 MD).</t>
  </si>
  <si>
    <t xml:space="preserve">Keep; need commodity provider API docs.</t>
  </si>
  <si>
    <t xml:space="preserve">INT-04</t>
  </si>
  <si>
    <t xml:space="preserve">Payment gateways – inbound; repayment status, reconciliation, refunds.</t>
  </si>
  <si>
    <t xml:space="preserve">#21: inbound – repayment status, reconciliation, refunds.</t>
  </si>
  <si>
    <t xml:space="preserve">Refund flow to confirm in #21.</t>
  </si>
  <si>
    <t xml:space="preserve">INT-05</t>
  </si>
  <si>
    <t xml:space="preserve">Core Banking System – bi-directional; disbursement fund movement, repayment detection, daily reconciliation.</t>
  </si>
  <si>
    <t xml:space="preserve">#21: bi-directional – disbursement fund movement, repayment detection, daily reconciliation.</t>
  </si>
  <si>
    <t xml:space="preserve">Disbursement direction missing (see FR-16); daily recon partial (FR-13).</t>
  </si>
  <si>
    <t xml:space="preserve">Add CBS outbound disbursement + recon.</t>
  </si>
  <si>
    <t xml:space="preserve">INT-06</t>
  </si>
  <si>
    <t xml:space="preserve">Credit bureau (Bahrain Credit Reference Bureau / BENEFIT) – outbound reporting of facilities, delinquencies, closures.</t>
  </si>
  <si>
    <t xml:space="preserve">Integration layer: periodic BCRB/BENEFIT reporting file/API built from Fineract data (facilities, delinquencies, closures). Fineract only supplies data via API/report.</t>
  </si>
  <si>
    <t xml:space="preserve">NEW roadmap item: Credit bureau (Bahrain Credit Reference Bureau / BENEFIT) – outbound reporting of facilities, delinquencies, closures.</t>
  </si>
  <si>
    <t xml:space="preserve">Not in roadmap. (Optasia comparison only covers inbound bureau checks for decisioning.)</t>
  </si>
  <si>
    <t xml:space="preserve">Add task: periodic bureau reporting file/API.</t>
  </si>
  <si>
    <t xml:space="preserve">INT-07</t>
  </si>
  <si>
    <t xml:space="preserve">AML / sanctions screening – outbound hooks at onboarding and disbursement.</t>
  </si>
  <si>
    <t xml:space="preserve">Mifos: hold/hook points before client activation and before disbursement (screening status field). Outside: call to AML/sanctions provider through the integration layer.</t>
  </si>
  <si>
    <t xml:space="preserve">NEW roadmap item: AML / sanctions screening – outbound hooks at onboarding and disbursement.</t>
  </si>
  <si>
    <t xml:space="preserve">Add task: screening hooks + hold/release logic.</t>
  </si>
  <si>
    <t xml:space="preserve">INT-08</t>
  </si>
  <si>
    <t xml:space="preserve">Notification providers (SMS, push, email, WhatsApp).</t>
  </si>
  <si>
    <t xml:space="preserve">#16: providers for SMS, push, email, WhatsApp.</t>
  </si>
  <si>
    <t xml:space="preserve">WhatsApp/email providers not explicit.</t>
  </si>
  <si>
    <t xml:space="preserve">INT-09</t>
  </si>
  <si>
    <t xml:space="preserve">Company data warehouse – outbound read replica / CDC feed (FR-35).</t>
  </si>
  <si>
    <t xml:space="preserve">Same as FR-35 – Bede AWS read replica / CDC to data warehouse.</t>
  </si>
  <si>
    <t xml:space="preserve">NEW roadmap item: Company data warehouse – outbound read replica / CDC feed (FR-35).</t>
  </si>
  <si>
    <t xml:space="preserve">Not native.</t>
  </si>
  <si>
    <t xml:space="preserve">Same gap as FR-35.</t>
  </si>
  <si>
    <t xml:space="preserve">See FR-35.</t>
  </si>
  <si>
    <t xml:space="preserve">INT-10</t>
  </si>
  <si>
    <t xml:space="preserve">Identity provider (SSO) – inbound staff authentication.</t>
  </si>
  <si>
    <t xml:space="preserve">Outside: identity provider. Mifos: OIDC/SAML configuration of Fineract and the Mifos web app login.</t>
  </si>
  <si>
    <t xml:space="preserve">NEW roadmap item: Identity provider (SSO) – inbound staff authentication.</t>
  </si>
  <si>
    <t xml:space="preserve">Configurable (OAuth2/OIDC).</t>
  </si>
  <si>
    <t xml:space="preserve">See FR-31.</t>
  </si>
  <si>
    <t xml:space="preserve">INT-STD-1</t>
  </si>
  <si>
    <t xml:space="preserve">Integration standard</t>
  </si>
  <si>
    <t xml:space="preserve">5 Integration standards</t>
  </si>
  <si>
    <t xml:space="preserve">OpenAPI 3.x specs delivered and maintained for every API.</t>
  </si>
  <si>
    <t xml:space="preserve">Native OpenAPI for Fineract core APIs.</t>
  </si>
  <si>
    <t xml:space="preserve">Custom APIs (facade, Murabaha, integrations) need specs.</t>
  </si>
  <si>
    <t xml:space="preserve">Include in definition of done.</t>
  </si>
  <si>
    <t xml:space="preserve">INT-STD-2</t>
  </si>
  <si>
    <t xml:space="preserve">Idempotent operations, retry with back-off, dead-letter handling and automated reconciliation for every external system.</t>
  </si>
  <si>
    <t xml:space="preserve">Integration layer / middleware (message broker, retry with back-off, dead-letter queue, reconciliation jobs). Fineract idempotency-key header already native.</t>
  </si>
  <si>
    <t xml:space="preserve">NEW roadmap item: Idempotent operations, retry with back-off, dead-letter handling and automated reconciliation for every external system.</t>
  </si>
  <si>
    <t xml:space="preserve">Partial: Fineract idempotency-key support; retry/DLQ custom.</t>
  </si>
  <si>
    <t xml:space="preserve">Cross-cutting effort not estimated.</t>
  </si>
  <si>
    <t xml:space="preserve">Add integration-framework task (retry/DLQ/recon).</t>
  </si>
  <si>
    <t xml:space="preserve">INT-STD-3</t>
  </si>
  <si>
    <t xml:space="preserve">Event / webhook support for status changes.</t>
  </si>
  <si>
    <t xml:space="preserve">Native hooks + external business events (Kafka/ActiveMQ).</t>
  </si>
  <si>
    <t xml:space="preserve">Configuration; custom Murabaha events to be added.</t>
  </si>
  <si>
    <t xml:space="preserve">Configure.</t>
  </si>
  <si>
    <t xml:space="preserve">INT-STD-4</t>
  </si>
  <si>
    <t xml:space="preserve">API versioning with documented deprecation policy.</t>
  </si>
  <si>
    <t xml:space="preserve">API gateway + API governance document (versioning, deprecation policy).</t>
  </si>
  <si>
    <t xml:space="preserve">NEW roadmap item: API versioning with documented deprecation policy.</t>
  </si>
  <si>
    <t xml:space="preserve">Process / documentation.</t>
  </si>
  <si>
    <t xml:space="preserve">Not covered.</t>
  </si>
  <si>
    <t xml:space="preserve">Add to API governance deliverables.</t>
  </si>
  <si>
    <t xml:space="preserve">INT-STD-5</t>
  </si>
  <si>
    <t xml:space="preserve">No customer PII in URLs, query strings or logs.</t>
  </si>
  <si>
    <t xml:space="preserve">Mifos: review endpoints that pass PII in query strings, log masking config. Outside: API gateway / log pipeline filtering.</t>
  </si>
  <si>
    <t xml:space="preserve">NEW roadmap item: No customer PII in URLs, query strings or logs.</t>
  </si>
  <si>
    <t xml:space="preserve">Not guaranteed natively (some endpoints use query params, logs not masked).</t>
  </si>
  <si>
    <t xml:space="preserve">Review + log masking needed (see NFR-08).</t>
  </si>
  <si>
    <t xml:space="preserve">Add security hardening task.</t>
  </si>
  <si>
    <t xml:space="preserve">NFR-01</t>
  </si>
  <si>
    <t xml:space="preserve">NFR</t>
  </si>
  <si>
    <t xml:space="preserve">6.1 Availability &amp; performance</t>
  </si>
  <si>
    <t xml:space="preserve">Availability [99.9%] monthly, excl. agreed maintenance.</t>
  </si>
  <si>
    <t xml:space="preserve">Depends on Bede AWS (multi-AZ) + stateless scale-out.</t>
  </si>
  <si>
    <t xml:space="preserve">No effort/commitment in task list.</t>
  </si>
  <si>
    <t xml:space="preserve">Architecture sizing + SLA commitment in response.</t>
  </si>
  <si>
    <t xml:space="preserve">NFR-02</t>
  </si>
  <si>
    <t xml:space="preserve">RTO [1 hour]; RPO [15 minutes].</t>
  </si>
  <si>
    <t xml:space="preserve">Infra (Bede).</t>
  </si>
  <si>
    <t xml:space="preserve">FOO provides DR procedure/spec only.</t>
  </si>
  <si>
    <t xml:space="preserve">Include DR spec deliverable.</t>
  </si>
  <si>
    <t xml:space="preserve">NFR-03</t>
  </si>
  <si>
    <t xml:space="preserve">[X] TPS; API p95 &lt; [500 ms] for customer-facing calls.</t>
  </si>
  <si>
    <t xml:space="preserve">Depends on sizing.</t>
  </si>
  <si>
    <t xml:space="preserve">TPS figure is still [X] in BEDE doc.</t>
  </si>
  <si>
    <t xml:space="preserve">Ask BEDE for volumes; include perf tuning effort.</t>
  </si>
  <si>
    <t xml:space="preserve">NFR-04</t>
  </si>
  <si>
    <t xml:space="preserve">Performance test at [3–5x] projected peak before go-live, results delivered.</t>
  </si>
  <si>
    <t xml:space="preserve">Performance test tooling &amp; execution (e.g. JMeter/k6) against Bede UAT/perf environment.</t>
  </si>
  <si>
    <t xml:space="preserve">NEW roadmap item: Performance test at [3–5x] projected peak before go-live, results delivered.</t>
  </si>
  <si>
    <t xml:space="preserve">No QA/perf-test effort in estimate (estimate = 1 developer).</t>
  </si>
  <si>
    <t xml:space="preserve">Add performance testing effort.</t>
  </si>
  <si>
    <t xml:space="preserve">NFR-05</t>
  </si>
  <si>
    <t xml:space="preserve">Multi-AZ deployment in AWS Ireland (eu-west-1); DR procedure tested before go-live and annually.</t>
  </si>
  <si>
    <t xml:space="preserve">DR test support effort not estimated.</t>
  </si>
  <si>
    <t xml:space="preserve">Add DR test support.</t>
  </si>
  <si>
    <t xml:space="preserve">NFR-06</t>
  </si>
  <si>
    <t xml:space="preserve">6.2 Security</t>
  </si>
  <si>
    <t xml:space="preserve">All customer data stored and processed in Bede's AWS account.</t>
  </si>
  <si>
    <t xml:space="preserve">N/A – architecture</t>
  </si>
  <si>
    <t xml:space="preserve">Satisfied by self-hosting Fineract in Bede AWS; issue only with the Mambu option.</t>
  </si>
  <si>
    <t xml:space="preserve">Fineract self-hosted: OK.</t>
  </si>
  <si>
    <t xml:space="preserve">Task list has a "Owner if BEDE Select Mambu" option. Mambu is a vendor-hosted SaaS – data would not sit in Bede's AWS.</t>
  </si>
  <si>
    <t xml:space="preserve">If FOO/Fineract route: compliant. Remove or caveat the Mambu columns.</t>
  </si>
  <si>
    <t xml:space="preserve">NFR-07</t>
  </si>
  <si>
    <t xml:space="preserve">Encryption at rest &amp; in transit (TLS 1.2+); secrets in managed vault, never in code/config.</t>
  </si>
  <si>
    <t xml:space="preserve">Outside: AWS KMS, RDS encryption, Secrets Manager, TLS at load balancer. Mifos: Fineract reads secrets from vault/env – configuration only.</t>
  </si>
  <si>
    <t xml:space="preserve">NEW roadmap item: Encryption at rest &amp; in transit (TLS 1.2+); secrets in managed vault, never in code/config.</t>
  </si>
  <si>
    <t xml:space="preserve">Configurable (KMS / Secrets Manager integration).</t>
  </si>
  <si>
    <t xml:space="preserve">Not estimated.</t>
  </si>
  <si>
    <t xml:space="preserve">Add DevOps/security task.</t>
  </si>
  <si>
    <t xml:space="preserve">NFR-08</t>
  </si>
  <si>
    <t xml:space="preserve">Field-level PII masking in technical logs; separate PII log tier for authorised staff only.</t>
  </si>
  <si>
    <t xml:space="preserve">Mifos: field-level PII masking in Fineract logging (logback pattern/masking converter) for custom and core logs. Outside: separate PII log tier/access in Bede log platform.</t>
  </si>
  <si>
    <t xml:space="preserve">NEW roadmap item: Field-level PII masking in technical logs; separate PII log tier for authorised staff only.</t>
  </si>
  <si>
    <t xml:space="preserve">Add log-masking task.</t>
  </si>
  <si>
    <t xml:space="preserve">NFR-09</t>
  </si>
  <si>
    <t xml:space="preserve">SAST, DAST, dependency &amp; container scanning in CI/CD; results shared with Bede.</t>
  </si>
  <si>
    <t xml:space="preserve">CI/CD pipeline: SAST, DAST, dependency &amp; container scanning; reports shared with Bede.</t>
  </si>
  <si>
    <t xml:space="preserve">NEW roadmap item: SAST, DAST, dependency &amp; container scanning in CI/CD; results shared with Bede.</t>
  </si>
  <si>
    <t xml:space="preserve">Pipeline work.</t>
  </si>
  <si>
    <t xml:space="preserve">Add DevSecOps effort.</t>
  </si>
  <si>
    <t xml:space="preserve">NFR-10</t>
  </si>
  <si>
    <t xml:space="preserve">Independent pen test before go-live &amp; annually; critical/high fixed before go-live.</t>
  </si>
  <si>
    <t xml:space="preserve">Third-party cost.</t>
  </si>
  <si>
    <t xml:space="preserve">Not in estimate or commercials.</t>
  </si>
  <si>
    <t xml:space="preserve">Price pen test + remediation buffer.</t>
  </si>
  <si>
    <t xml:space="preserve">NFR-11</t>
  </si>
  <si>
    <t xml:space="preserve">Vulnerability SLAs: Critical [72h], High [14 days], Medium/Low [30 days].</t>
  </si>
  <si>
    <t xml:space="preserve">Support process.</t>
  </si>
  <si>
    <t xml:space="preserve">Commercial/support commitment.</t>
  </si>
  <si>
    <t xml:space="preserve">Confirm in support model.</t>
  </si>
  <si>
    <t xml:space="preserve">NFR-12</t>
  </si>
  <si>
    <t xml:space="preserve">Alignment with OWASP ASVS and CBB cybersecurity requirements.</t>
  </si>
  <si>
    <t xml:space="preserve">Gap assessment vs ASVS.</t>
  </si>
  <si>
    <t xml:space="preserve">NFR-13</t>
  </si>
  <si>
    <t xml:space="preserve">Foo personnel named, background-checked, individual MFA accounts.</t>
  </si>
  <si>
    <t xml:space="preserve">HR / process.</t>
  </si>
  <si>
    <t xml:space="preserve">Non-dev.</t>
  </si>
  <si>
    <t xml:space="preserve">Confirm in response.</t>
  </si>
  <si>
    <t xml:space="preserve">NFR-14</t>
  </si>
  <si>
    <t xml:space="preserve">6.3 Observability</t>
  </si>
  <si>
    <t xml:space="preserve">Structured logs, metrics, distributed traces and health endpoints for Company monitoring tools.</t>
  </si>
  <si>
    <t xml:space="preserve">Mifos: enable actuator health/metrics, structured JSON logs, OpenTelemetry tracing (configuration). Outside: Bede monitoring tools ingest them.</t>
  </si>
  <si>
    <t xml:space="preserve">NEW roadmap item: Structured logs, metrics, distributed traces and health endpoints for Company monitoring tools.</t>
  </si>
  <si>
    <t xml:space="preserve">Native actuator health/metrics; tracing configurable.</t>
  </si>
  <si>
    <t xml:space="preserve">Add observability task (incl. FR-39 job alerting).</t>
  </si>
  <si>
    <t xml:space="preserve">NFR-15</t>
  </si>
  <si>
    <t xml:space="preserve">Alert definitions and runbooks for every critical failure mode.</t>
  </si>
  <si>
    <t xml:space="preserve">Alert definitions in the monitoring stack + runbook documents.</t>
  </si>
  <si>
    <t xml:space="preserve">NEW roadmap item: Alert definitions and runbooks for every critical failure mode.</t>
  </si>
  <si>
    <t xml:space="preserve">Add runbook effort.</t>
  </si>
  <si>
    <t xml:space="preserve">NFR-16</t>
  </si>
  <si>
    <t xml:space="preserve">Configurable data retention and purge policies (CBB &amp; PDPL).</t>
  </si>
  <si>
    <t xml:space="preserve">Fineract: configurable retention rules + archival/purge jobs (no native purge) respecting CBB and PDPL periods.</t>
  </si>
  <si>
    <t xml:space="preserve">NEW roadmap item: Configurable data retention and purge policies (CBB &amp; PDPL).</t>
  </si>
  <si>
    <t xml:space="preserve">Add retention/purge task.</t>
  </si>
  <si>
    <t xml:space="preserve">NFR-17</t>
  </si>
  <si>
    <t xml:space="preserve">6.4 Architecture &amp; deployment</t>
  </si>
  <si>
    <t xml:space="preserve">Containerised on Bede EKS; IaC (Terraform/Helm) for instant deployment to recovery regions.</t>
  </si>
  <si>
    <t xml:space="preserve">DevOps: Helm charts + Terraform for EKS; Fineract Docker images already exist.</t>
  </si>
  <si>
    <t xml:space="preserve">NEW roadmap item: Containerised on Bede EKS; IaC (Terraform/Helm) for instant deployment to recovery regions.</t>
  </si>
  <si>
    <t xml:space="preserve">Docker images native; Helm/Terraform to build.</t>
  </si>
  <si>
    <t xml:space="preserve">Conflicts with Mambu option (SaaS, not deployable to EKS).</t>
  </si>
  <si>
    <t xml:space="preserve">Add Helm/Terraform packaging task.</t>
  </si>
  <si>
    <t xml:space="preserve">NFR-18</t>
  </si>
  <si>
    <t xml:space="preserve">Environment parity across dev, UAT and production.</t>
  </si>
  <si>
    <t xml:space="preserve">Process.</t>
  </si>
  <si>
    <t xml:space="preserve">Covered by IaC.</t>
  </si>
  <si>
    <t xml:space="preserve">NFR-19</t>
  </si>
  <si>
    <t xml:space="preserve">Built on Apache Fineract or similar open-source platform; upstream version pinned, documented upgrade path, no fork off upstream.</t>
  </si>
  <si>
    <t xml:space="preserve">Deliver FOO customisations as Fineract extension modules on a pinned upstream version (no fork).</t>
  </si>
  <si>
    <t xml:space="preserve">FOO CBS is Fineract-based: aligned in principle.</t>
  </si>
  <si>
    <t xml:space="preserve">(1) Mambu option = proprietary, does not meet this. (2) FOO customisations (Murabaha etc.) must be delivered as modules/extensions, not as a fork.</t>
  </si>
  <si>
    <t xml:space="preserve">Confirm delivery as extension modules; drop Mambu columns for this scope.</t>
  </si>
  <si>
    <t xml:space="preserve">NFR-20</t>
  </si>
  <si>
    <t xml:space="preserve">Zero-downtime deployments by default; any interruption justified and approved in advance.</t>
  </si>
  <si>
    <t xml:space="preserve">Mifos: backward-compatible Liquibase migrations (expand/contract). Outside: Kubernetes rolling / blue-green deployment.</t>
  </si>
  <si>
    <t xml:space="preserve">NEW roadmap item: Zero-downtime deployments by default; any interruption justified and approved in advance.</t>
  </si>
  <si>
    <t xml:space="preserve">Risk: Liquibase DB migrations may need downtime.</t>
  </si>
  <si>
    <t xml:space="preserve">Rolling-deploy + backward-compatible migration approach.</t>
  </si>
  <si>
    <t xml:space="preserve">NFR-21</t>
  </si>
  <si>
    <t xml:space="preserve">Every deployment supports straightforward, tested rollback.</t>
  </si>
  <si>
    <t xml:space="preserve">Mifos: reversible DB changesets / migration strategy. Outside: Helm rollback + tested rollback procedure.</t>
  </si>
  <si>
    <t xml:space="preserve">NEW roadmap item: Every deployment supports straightforward, tested rollback.</t>
  </si>
  <si>
    <t xml:space="preserve">Risk: DB migrations are not always reversible.</t>
  </si>
  <si>
    <t xml:space="preserve">Define rollback strategy per release.</t>
  </si>
  <si>
    <t xml:space="preserve">D-01</t>
  </si>
  <si>
    <t xml:space="preserve">Delivery</t>
  </si>
  <si>
    <t xml:space="preserve">7.1 Discovery</t>
  </si>
  <si>
    <t xml:space="preserve">Foo team/expert on site for specification workshops.</t>
  </si>
  <si>
    <t xml:space="preserve">Discovery/on-site effort not in estimate.</t>
  </si>
  <si>
    <t xml:space="preserve">Add discovery phase effort + travel.</t>
  </si>
  <si>
    <t xml:space="preserve">D-02</t>
  </si>
  <si>
    <t xml:space="preserve">Deliverables: BRD, functional spec, solution architecture, integration specs, data model, signed-off backlog with acceptance criteria.</t>
  </si>
  <si>
    <t xml:space="preserve">Add BA/architect effort.</t>
  </si>
  <si>
    <t xml:space="preserve">D-03</t>
  </si>
  <si>
    <t xml:space="preserve">7.2 Environments</t>
  </si>
  <si>
    <t xml:space="preserve">Bede provisions and manages all AWS environments.</t>
  </si>
  <si>
    <t xml:space="preserve">Dependency on Bede.</t>
  </si>
  <si>
    <t xml:space="preserve">Record as assumption.</t>
  </si>
  <si>
    <t xml:space="preserve">D-04</t>
  </si>
  <si>
    <t xml:space="preserve">Foo deployment access to development environment only.</t>
  </si>
  <si>
    <t xml:space="preserve">Constraint.</t>
  </si>
  <si>
    <t xml:space="preserve">D-05</t>
  </si>
  <si>
    <t xml:space="preserve">Bede deploys UAT/prod using Foo-supplied tested packages &amp; step-by-step guides.</t>
  </si>
  <si>
    <t xml:space="preserve">Packaging + deployment guides not estimated.</t>
  </si>
  <si>
    <t xml:space="preserve">Add DevOps effort.</t>
  </si>
  <si>
    <t xml:space="preserve">D-06</t>
  </si>
  <si>
    <t xml:space="preserve">Foo gets PII-masked logs only (NFR-08).</t>
  </si>
  <si>
    <t xml:space="preserve">Depends on NFR-08.</t>
  </si>
  <si>
    <t xml:space="preserve">D-07</t>
  </si>
  <si>
    <t xml:space="preserve">7.3 Testing</t>
  </si>
  <si>
    <t xml:space="preserve">DoD and acceptance criteria agreed per feature before build.</t>
  </si>
  <si>
    <t xml:space="preserve">Plan.</t>
  </si>
  <si>
    <t xml:space="preserve">D-08</t>
  </si>
  <si>
    <t xml:space="preserve">Foo delivers unit, integration and SIT with evidence; UAT test cases and anonymised test data.</t>
  </si>
  <si>
    <t xml:space="preserve">No QA effort in estimate ("1 developer").</t>
  </si>
  <si>
    <t xml:space="preserve">Add QA/SIT effort (typically 25–35% of dev).</t>
  </si>
  <si>
    <t xml:space="preserve">D-09</t>
  </si>
  <si>
    <t xml:space="preserve">Bede UAT with written sign-off; no Sev1/Sev2 open at go-live.</t>
  </si>
  <si>
    <t xml:space="preserve">UAT support effort not estimated.</t>
  </si>
  <si>
    <t xml:space="preserve">Add UAT support.</t>
  </si>
  <si>
    <t xml:space="preserve">D-10</t>
  </si>
  <si>
    <t xml:space="preserve">Performance, pen-test and DR tests are acceptance gates.</t>
  </si>
  <si>
    <t xml:space="preserve">See NFR-04/05/10.</t>
  </si>
  <si>
    <t xml:space="preserve">D-11</t>
  </si>
  <si>
    <t xml:space="preserve">7.4 Documentation</t>
  </si>
  <si>
    <t xml:space="preserve">Admin guide, ops runbooks, API docs, deployment &amp; rollback guides, architecture &amp; data model docs.</t>
  </si>
  <si>
    <t xml:space="preserve">D-12</t>
  </si>
  <si>
    <t xml:space="preserve">7.4 Training</t>
  </si>
  <si>
    <t xml:space="preserve">Training for ops, finance, risk, compliance, IT; recordings retained by Bede.</t>
  </si>
  <si>
    <t xml:space="preserve">Add training effort.</t>
  </si>
  <si>
    <t xml:space="preserve">M-01</t>
  </si>
  <si>
    <t xml:space="preserve">Migration</t>
  </si>
  <si>
    <t xml:space="preserve">8 Migration</t>
  </si>
  <si>
    <t xml:space="preserve">Migrate all existing customers, contracts, schedules, repayment history, balances and documents.</t>
  </si>
  <si>
    <t xml:space="preserve">#36</t>
  </si>
  <si>
    <t xml:space="preserve">#36 Data Migration</t>
  </si>
  <si>
    <t xml:space="preserve">#36: 10</t>
  </si>
  <si>
    <t xml:space="preserve">#36: customers, contracts, schedules, repayment history, balances AND documents.</t>
  </si>
  <si>
    <t xml:space="preserve">Fineract import/APIs.</t>
  </si>
  <si>
    <t xml:space="preserve">#36 = 10 MD; likely low given M-02..M-08.</t>
  </si>
  <si>
    <t xml:space="preserve">Re-estimate #36 including all M items.</t>
  </si>
  <si>
    <t xml:space="preserve">M-02</t>
  </si>
  <si>
    <t xml:space="preserve">Field-level data mapping document agreed before first simulation.</t>
  </si>
  <si>
    <t xml:space="preserve">#36: field-level mapping document agreed with BEDE before first simulation.</t>
  </si>
  <si>
    <t xml:space="preserve">Not explicit in #36.</t>
  </si>
  <si>
    <t xml:space="preserve">Include in #36.</t>
  </si>
  <si>
    <t xml:space="preserve">M-03</t>
  </si>
  <si>
    <t xml:space="preserve">Reconciliation to the fils on all balances &amp; schedules; report + sign-off as go-live gate.</t>
  </si>
  <si>
    <t xml:space="preserve">#36: reconciliation to the fils on all balances &amp; schedules; reconciliation report; BEDE sign-off = go-live gate.</t>
  </si>
  <si>
    <t xml:space="preserve">Not explicit.</t>
  </si>
  <si>
    <t xml:space="preserve">Include reconciliation tooling.</t>
  </si>
  <si>
    <t xml:space="preserve">M-04</t>
  </si>
  <si>
    <t xml:space="preserve">Historical repayment history and original contract terms preserved and visible.</t>
  </si>
  <si>
    <t xml:space="preserve">#36: historical repayment history and original contract terms preserved and visible.</t>
  </si>
  <si>
    <t xml:space="preserve">Backdated transaction replay needed.</t>
  </si>
  <si>
    <t xml:space="preserve">Effort driver not visible in #36.</t>
  </si>
  <si>
    <t xml:space="preserve">Include history replay.</t>
  </si>
  <si>
    <t xml:space="preserve">M-05</t>
  </si>
  <si>
    <t xml:space="preserve">Multiple full simulation cycles using a new app build connected to new LMS, without interrupting existing app.</t>
  </si>
  <si>
    <t xml:space="preserve">#36: multiple full simulation cycles with a new app build on the new LMS, without interrupting the live app/backend.</t>
  </si>
  <si>
    <t xml:space="preserve">Number of cycles not defined.</t>
  </si>
  <si>
    <t xml:space="preserve">Agree cycle count (e.g. 3) and estimate.</t>
  </si>
  <si>
    <t xml:space="preserve">M-06</t>
  </si>
  <si>
    <t xml:space="preserve">Production cut-over downtime ≤ [2 hours].</t>
  </si>
  <si>
    <t xml:space="preserve">#36: production cut-over downtime ≤ [2 hours].</t>
  </si>
  <si>
    <t xml:space="preserve">Needs rehearsal &amp; tooling.</t>
  </si>
  <si>
    <t xml:space="preserve">Include.</t>
  </si>
  <si>
    <t xml:space="preserve">M-07</t>
  </si>
  <si>
    <t xml:space="preserve">Documented &amp; rehearsed rollback plan for cut-over.</t>
  </si>
  <si>
    <t xml:space="preserve">#36: documented and rehearsed cut-over rollback plan.</t>
  </si>
  <si>
    <t xml:space="preserve">M-08</t>
  </si>
  <si>
    <t xml:space="preserve">Data freeze window, communication plan, post-migration validation checklist.</t>
  </si>
  <si>
    <t xml:space="preserve">#36: data-freeze window, communication plan, post-migration validation checklist.</t>
  </si>
  <si>
    <t xml:space="preserve">S-01</t>
  </si>
  <si>
    <t xml:space="preserve">Support</t>
  </si>
  <si>
    <t xml:space="preserve">9 Hypercare</t>
  </si>
  <si>
    <t xml:space="preserve">Hypercare 3–6 months post go-live with on-ground presence and daily review calls.</t>
  </si>
  <si>
    <t xml:space="preserve">Not in roadmap / estimate.</t>
  </si>
  <si>
    <t xml:space="preserve">Price hypercare.</t>
  </si>
  <si>
    <t xml:space="preserve">S-02</t>
  </si>
  <si>
    <t xml:space="preserve">9 Warranty</t>
  </si>
  <si>
    <t xml:space="preserve">Warranty 5 years post go-live; all defects corrected at no cost.</t>
  </si>
  <si>
    <t xml:space="preserve">5-year free defect correction is a significant commercial risk.</t>
  </si>
  <si>
    <t xml:space="preserve">Commercial review.</t>
  </si>
  <si>
    <t xml:space="preserve">S-03</t>
  </si>
  <si>
    <t xml:space="preserve">9 Support</t>
  </si>
  <si>
    <t xml:space="preserve">24x7 support by phone/email/portal, escalation to executive level, English &amp; Arabic.</t>
  </si>
  <si>
    <t xml:space="preserve">Price support model.</t>
  </si>
  <si>
    <t xml:space="preserve">S-04</t>
  </si>
  <si>
    <t xml:space="preserve">9 SLAs</t>
  </si>
  <si>
    <t xml:space="preserve">Sev1 15 min response / 2 h resolution; Sev2 30 min / 8 h; Sev3 4 h / 3 days; Sev4 1 day / next release.</t>
  </si>
  <si>
    <t xml:space="preserve">Aggressive Sev1/Sev2 targets.</t>
  </si>
  <si>
    <t xml:space="preserve">Validate feasibility / propose SLA.</t>
  </si>
  <si>
    <t xml:space="preserve">S-05</t>
  </si>
  <si>
    <t xml:space="preserve">9 Monthly items</t>
  </si>
  <si>
    <t xml:space="preserve">Monthly security &amp; hotfix release with vulnerability/bug report.</t>
  </si>
  <si>
    <t xml:space="preserve">Requires tracking upstream Fineract CVEs (ties to NFR-19).</t>
  </si>
  <si>
    <t xml:space="preserve">Price recurring effort.</t>
  </si>
  <si>
    <t xml:space="preserve">S-06</t>
  </si>
  <si>
    <t xml:space="preserve">Monthly service review (SLA, incidents, RCA, capacity, changes).</t>
  </si>
  <si>
    <t xml:space="preserve">Price.</t>
  </si>
  <si>
    <t xml:space="preserve">S-07</t>
  </si>
  <si>
    <t xml:space="preserve">Service credits / penalties for SLA breaches (§10).</t>
  </si>
  <si>
    <t xml:space="preserve">See C-03.</t>
  </si>
  <si>
    <t xml:space="preserve">C-01</t>
  </si>
  <si>
    <t xml:space="preserve">Commercial</t>
  </si>
  <si>
    <t xml:space="preserve">10 Commercial terms</t>
  </si>
  <si>
    <t xml:space="preserve">IP: Bede owns all custom code, configuration, documentation and data; source in Bede repo or escrow.</t>
  </si>
  <si>
    <t xml:space="preserve">N/A – commercial</t>
  </si>
  <si>
    <t xml:space="preserve">Contract/IP clause – no build.</t>
  </si>
  <si>
    <t xml:space="preserve">Murabaha / Islamic modules are FOO product IP reused across clients – full Bede ownership of "all custom code" conflicts with that.</t>
  </si>
  <si>
    <t xml:space="preserve">Commercial/legal review: licence FOO modules, assign only Bede-specific code.</t>
  </si>
  <si>
    <t xml:space="preserve">C-02</t>
  </si>
  <si>
    <t xml:space="preserve">Milestone payments tied to acceptance; 20% retention released 3 months post go-live.</t>
  </si>
  <si>
    <t xml:space="preserve">C-03</t>
  </si>
  <si>
    <t xml:space="preserve">Service credits 5% of monthly fee per breach, capped 20%/month; repeated breaches = termination.</t>
  </si>
  <si>
    <t xml:space="preserve">C-04</t>
  </si>
  <si>
    <t xml:space="preserve">Liquidated damages: 8% of contract value per week of delay.</t>
  </si>
  <si>
    <t xml:space="preserve">High LD rate with no cap stated.</t>
  </si>
  <si>
    <t xml:space="preserve">Commercial review – negotiate cap.</t>
  </si>
  <si>
    <t xml:space="preserve">C-05</t>
  </si>
  <si>
    <t xml:space="preserve">Change control with impact assessment; rate card agreed at signature.</t>
  </si>
  <si>
    <t xml:space="preserve">Provide rate card.</t>
  </si>
  <si>
    <t xml:space="preserve">C-06</t>
  </si>
  <si>
    <t xml:space="preserve">Named key personnel; no subcontracting without consent.</t>
  </si>
  <si>
    <t xml:space="preserve">Confirm team.</t>
  </si>
  <si>
    <t xml:space="preserve">C-07</t>
  </si>
  <si>
    <t xml:space="preserve">CBB outsourcing obligations: audit rights, CBB access to Foo premises/staff/records, data location, notification of changes.</t>
  </si>
  <si>
    <t xml:space="preserve">Compliance review.</t>
  </si>
  <si>
    <t xml:space="preserve">C-08</t>
  </si>
  <si>
    <t xml:space="preserve">Foo business continuity plan maintained and tested.</t>
  </si>
  <si>
    <t xml:space="preserve">Provide BCP.</t>
  </si>
  <si>
    <t xml:space="preserve">C-09</t>
  </si>
  <si>
    <t xml:space="preserve">Exit: 6 months transition assistance, return of data &amp; code, destruction certificates.</t>
  </si>
  <si>
    <t xml:space="preserve">Price exit support.</t>
  </si>
  <si>
    <t xml:space="preserve">C-10</t>
  </si>
  <si>
    <t xml:space="preserve">NDA + DPA aligned to Bahrain PDPL.</t>
  </si>
  <si>
    <t xml:space="preserve">Legal.</t>
  </si>
  <si>
    <t xml:space="preserve">C-11</t>
  </si>
  <si>
    <t xml:space="preserve">Liability cap, indemnities (incl. IP), PI / cyber insurance at [amount].</t>
  </si>
  <si>
    <t xml:space="preserve">Amount TBD.</t>
  </si>
  <si>
    <t xml:space="preserve">C-12</t>
  </si>
  <si>
    <t xml:space="preserve">Term: 5 years support &amp; maintenance, annual renewal, pricing review.</t>
  </si>
  <si>
    <t xml:space="preserve">Commercial.</t>
  </si>
  <si>
    <t xml:space="preserve">G-01</t>
  </si>
  <si>
    <t xml:space="preserve">Governance</t>
  </si>
  <si>
    <t xml:space="preserve">10 Governance</t>
  </si>
  <si>
    <t xml:space="preserve">Monthly steering committee.</t>
  </si>
  <si>
    <t xml:space="preserve">PM/governance effort not in estimate.</t>
  </si>
  <si>
    <t xml:space="preserve">Add PM effort.</t>
  </si>
  <si>
    <t xml:space="preserve">G-02</t>
  </si>
  <si>
    <t xml:space="preserve">Weekly status report &amp; meeting; shared RAID log.</t>
  </si>
  <si>
    <t xml:space="preserve">G-03</t>
  </si>
  <si>
    <t xml:space="preserve">Single Foo PM as point of accountability.</t>
  </si>
  <si>
    <t xml:space="preserve">Assign PM.</t>
  </si>
  <si>
    <t xml:space="preserve">G-04</t>
  </si>
  <si>
    <t xml:space="preserve">All decisions, scope changes, acceptances in writing.</t>
  </si>
  <si>
    <t xml:space="preserve">ROADMAP ITEMS WITH NO / CONFLICTING BEDE REQUIREMENT (not needed for BEDE, or to be reshaped)</t>
  </si>
  <si>
    <t xml:space="preserve">RM-2</t>
  </si>
  <si>
    <t xml:space="preserve">Roadmap only</t>
  </si>
  <si>
    <t xml:space="preserve">Roadmap</t>
  </si>
  <si>
    <t xml:space="preserve">— (no explicit BEDE requirement)</t>
  </si>
  <si>
    <t xml:space="preserve">#2</t>
  </si>
  <si>
    <t xml:space="preserve">#2 Configurable RAC / Hard Eligibility Rules</t>
  </si>
  <si>
    <t xml:space="preserve">Eligibility Engine is in-house and OUT of scope (§3.2). RAC/hard rules belong to BEDE's engine.</t>
  </si>
  <si>
    <t xml:space="preserve">Exclude from BEDE estimate (engine is BEDE in-house, §3.2); keep in product roadmap.</t>
  </si>
  <si>
    <t xml:space="preserve">RM-4</t>
  </si>
  <si>
    <t xml:space="preserve">#4</t>
  </si>
  <si>
    <t xml:space="preserve">#4 Credit Scoring Input Attributes &amp; Data Mapping</t>
  </si>
  <si>
    <t xml:space="preserve">not estimated</t>
  </si>
  <si>
    <t xml:space="preserve">Scoring attributes/data mapping is engine work (§3.2 out of scope). Not estimated anyway.</t>
  </si>
  <si>
    <t xml:space="preserve">Exclude from BEDE estimate; keep in product roadmap.</t>
  </si>
  <si>
    <t xml:space="preserve">RM-5</t>
  </si>
  <si>
    <t xml:space="preserve">#5</t>
  </si>
  <si>
    <t xml:space="preserve">#5 LMS–Credit Scoring Platform Integration</t>
  </si>
  <si>
    <t xml:space="preserve">No credit-scoring platform integration in BEDE integration list (INT-01..10).</t>
  </si>
  <si>
    <t xml:space="preserve">Exclude from BEDE estimate unless INT-02 is resolved as FOO scoring.</t>
  </si>
  <si>
    <t xml:space="preserve">RM-7</t>
  </si>
  <si>
    <t xml:space="preserve">Decision snapshot not required; BEDE needs immutable audit (FR-33) and engine output stored with application.</t>
  </si>
  <si>
    <t xml:space="preserve">Rescope to "store Eligibility Engine output with application".</t>
  </si>
  <si>
    <t xml:space="preserve">RM-9</t>
  </si>
  <si>
    <t xml:space="preserve">Fineract: change to exposure limits (see FR-21).</t>
  </si>
  <si>
    <t xml:space="preserve">Contradicts FR-21 (multiple concurrent finances).</t>
  </si>
  <si>
    <t xml:space="preserve">Replace with exposure-limit task.</t>
  </si>
  <si>
    <t xml:space="preserve">RM-10.4</t>
  </si>
  <si>
    <t xml:space="preserve">#10.4</t>
  </si>
  <si>
    <t xml:space="preserve">#10.4 Takaful / Insurance Classification &amp; Treatment</t>
  </si>
  <si>
    <t xml:space="preserve">Takaful/insurance not mentioned anywhere in BEDE scope.</t>
  </si>
  <si>
    <t xml:space="preserve">Exclude from BEDE estimate unless BEDE confirms Takaful (−3 MD).</t>
  </si>
  <si>
    <t xml:space="preserve">RM-10.6</t>
  </si>
  <si>
    <t xml:space="preserve">Odoo/ERP integration not in BEDE scope; BEDE asks for LMS sub-ledger + CBS reconciliation (FR-11, FR-13).</t>
  </si>
  <si>
    <t xml:space="preserve">Remove Odoo part; keep GL/profit suspension.</t>
  </si>
  <si>
    <t xml:space="preserve">RM-11.2</t>
  </si>
  <si>
    <t xml:space="preserve">#11.2</t>
  </si>
  <si>
    <t xml:space="preserve">#11.2 Multi-Currency Purchase &amp; FX</t>
  </si>
  <si>
    <t xml:space="preserve">Multi-currency purchase &amp; FX not requested (BHD Murabaha via app).</t>
  </si>
  <si>
    <t xml:space="preserve">Exclude from BEDE estimate unless BEDE confirms FX (−7 MD).</t>
  </si>
  <si>
    <t xml:space="preserve">RM-11.4</t>
  </si>
  <si>
    <t xml:space="preserve">#11.4</t>
  </si>
  <si>
    <t xml:space="preserve">#11.4 Wakala Workflow</t>
  </si>
  <si>
    <t xml:space="preserve">Wakala is a different Islamic contract; BEDE scope is Murabaha only.</t>
  </si>
  <si>
    <t xml:space="preserve">Exclude from BEDE estimate (−7 MD); keep in product roadmap.</t>
  </si>
  <si>
    <t xml:space="preserve">RM-11.6</t>
  </si>
  <si>
    <t xml:space="preserve">#11.6</t>
  </si>
  <si>
    <t xml:space="preserve">#11.6 Wa'd &amp; Hamish Jiddiyyah</t>
  </si>
  <si>
    <t xml:space="preserve">Wa'd / Hamish Jiddiyyah not explicitly requested; may be needed by SSB for commodity Murabaha.</t>
  </si>
  <si>
    <t xml:space="preserve">Confirm with BEDE SSB before keeping (5 MD).</t>
  </si>
  <si>
    <t xml:space="preserve">RM-18</t>
  </si>
  <si>
    <t xml:space="preserve">#18</t>
  </si>
  <si>
    <t xml:space="preserve">#18 Loan Offer Caching &amp; Refresh</t>
  </si>
  <si>
    <t xml:space="preserve">Offer caching is Optasia-specific; not in BEDE requirements.</t>
  </si>
  <si>
    <t xml:space="preserve">Exclude from BEDE estimate (−3.5 MD).</t>
  </si>
  <si>
    <t xml:space="preserve">RM-19</t>
  </si>
  <si>
    <t xml:space="preserve">#19</t>
  </si>
  <si>
    <t xml:space="preserve">#19 Application Expiry &amp; Automatic Cancellation</t>
  </si>
  <si>
    <t xml:space="preserve">72h application expiry is Optasia-specific; not in BEDE requirements.</t>
  </si>
  <si>
    <t xml:space="preserve">Exclude from BEDE estimate unless confirmed (−2 MD).</t>
  </si>
  <si>
    <t xml:space="preserve">RM-20</t>
  </si>
  <si>
    <t xml:space="preserve">#20</t>
  </si>
  <si>
    <t xml:space="preserve">#20 Promo Code &amp; Promotional Discount Support</t>
  </si>
  <si>
    <t xml:space="preserve">Promo codes not in BEDE requirements.</t>
  </si>
  <si>
    <t xml:space="preserve">Exclude from BEDE estimate (−2 MD).</t>
  </si>
  <si>
    <t xml:space="preserve">RM-22</t>
  </si>
  <si>
    <t xml:space="preserve">#22</t>
  </si>
  <si>
    <t xml:space="preserve">#22 Accounting / ERP Integration</t>
  </si>
  <si>
    <t xml:space="preserve">No ERP integration in BEDE integration list.</t>
  </si>
  <si>
    <t xml:space="preserve">Exclude from BEDE estimate unless confirmed (−5 MD).</t>
  </si>
  <si>
    <t xml:space="preserve">RM-23</t>
  </si>
  <si>
    <t xml:space="preserve">#23</t>
  </si>
  <si>
    <t xml:space="preserve">#23 CRM / Ticketing Integration</t>
  </si>
  <si>
    <t xml:space="preserve">CRM/ticketing not in BEDE integration list.</t>
  </si>
  <si>
    <t xml:space="preserve">RM-24</t>
  </si>
  <si>
    <t xml:space="preserve">#24</t>
  </si>
  <si>
    <t xml:space="preserve">#24 Borrower Data Refresh / Re-registration</t>
  </si>
  <si>
    <t xml:space="preserve">Borrower re-registration is Optasia-specific.</t>
  </si>
  <si>
    <t xml:space="preserve">RM-25</t>
  </si>
  <si>
    <t xml:space="preserve">#25</t>
  </si>
  <si>
    <t xml:space="preserve">#25 Regulatory APR Calculation</t>
  </si>
  <si>
    <t xml:space="preserve">APR not explicit in BEDE doc but implied by CBB Rulebook Vol.5 consumer disclosure (Bede is CBB-licensed).</t>
  </si>
  <si>
    <t xml:space="preserve">Keep with #10.7; currently 0 MD – estimate it.</t>
  </si>
  <si>
    <t xml:space="preserve">RM-10.7</t>
  </si>
  <si>
    <t xml:space="preserve">#10.7</t>
  </si>
  <si>
    <t xml:space="preserve">#10.7 CBB Consumer Disclosure</t>
  </si>
  <si>
    <t xml:space="preserve">CBB consumer disclosure not explicit but implied by CBB licence.</t>
  </si>
  <si>
    <t xml:space="preserve">RM-27</t>
  </si>
  <si>
    <t xml:space="preserve">Fineract: change allocation (see FR-19).</t>
  </si>
  <si>
    <t xml:space="preserve">"Partial repayment held until full EMI" contradicts FR-19.</t>
  </si>
  <si>
    <t xml:space="preserve">Rework (see FR-19).</t>
  </si>
  <si>
    <t xml:space="preserve">RM-MAMBU</t>
  </si>
  <si>
    <t xml:space="preserve">— (no BEDE requirement)</t>
  </si>
  <si>
    <t xml:space="preserve">Cols K/L</t>
  </si>
  <si>
    <t xml:space="preserve">Owner / Estimation if BEDE selects Mambu</t>
  </si>
  <si>
    <t xml:space="preserve">Option conflicts with NFR-06/17/19.</t>
  </si>
  <si>
    <t xml:space="preserve">Columns K/L "Owner / Estimation if BEDE select Mambu": Mambu is proprietary SaaS – conflicts with NFR-19 (open-source, no fork), NFR-06 (data in Bede AWS) and NFR-17 (deploy to Bede EKS).</t>
  </si>
  <si>
    <t xml:space="preserve">Drop the Mambu option for this response, or flag it as non-compliant.</t>
  </si>
  <si>
    <t xml:space="preserve">BEDE Requirements – FRD Coverage and LMS Side</t>
  </si>
  <si>
    <t xml:space="preserve">All requirements listed in the BEDE Scope &amp; Requirements document and their coverage by the current FOO documents. Delivery, support, commercial and governance items (D-, S-, C-, G-) are marked 'Non-product feature'.</t>
  </si>
  <si>
    <t xml:space="preserve">Documents</t>
  </si>
  <si>
    <t xml:space="preserve">Coverage status</t>
  </si>
  <si>
    <t xml:space="preserve">of which LMS side = Yes</t>
  </si>
  <si>
    <t xml:space="preserve">LMS side</t>
  </si>
  <si>
    <t xml:space="preserve">Islamic Financing Module FRD</t>
  </si>
  <si>
    <t xml:space="preserve">Islamic Financing Module for Loan Management System (LMS) – v4</t>
  </si>
  <si>
    <t xml:space="preserve">Covered</t>
  </si>
  <si>
    <t xml:space="preserve">Yes</t>
  </si>
  <si>
    <t xml:space="preserve">Murabaha Profit FRD</t>
  </si>
  <si>
    <t xml:space="preserve">Murabaha Profit Configuration, Contractual Profit Controls &amp; Rescheduling – FRD v14</t>
  </si>
  <si>
    <t xml:space="preserve">Partly covered</t>
  </si>
  <si>
    <t xml:space="preserve">Partly</t>
  </si>
  <si>
    <t xml:space="preserve">Ibra' BRD</t>
  </si>
  <si>
    <t xml:space="preserve">Murabaha Early Settlement &amp; Ibra' Management – BRD v7</t>
  </si>
  <si>
    <t xml:space="preserve">Native – no FRD needed</t>
  </si>
  <si>
    <t xml:space="preserve">No</t>
  </si>
  <si>
    <t xml:space="preserve">Mid-term Grace FRD</t>
  </si>
  <si>
    <t xml:space="preserve">Mid-term Grace Period Enhancement for LMS – v3</t>
  </si>
  <si>
    <t xml:space="preserve">Not covered</t>
  </si>
  <si>
    <t xml:space="preserve">Native</t>
  </si>
  <si>
    <t xml:space="preserve">Existing Fineract / FOO LMS capability, used through configuration</t>
  </si>
  <si>
    <t xml:space="preserve">Non-product feature</t>
  </si>
  <si>
    <t xml:space="preserve">Yes = built in the LMS · Partly = LMS + external system · No = outside the LMS</t>
  </si>
  <si>
    <t xml:space="preserve">Coverage Status</t>
  </si>
  <si>
    <t xml:space="preserve">Covered in (document &amp; section)</t>
  </si>
  <si>
    <t xml:space="preserve">LMS Side?</t>
  </si>
  <si>
    <t xml:space="preserve">Outside-LMS Part</t>
  </si>
  <si>
    <t xml:space="preserve">Still Missing / Next Step</t>
  </si>
  <si>
    <t xml:space="preserve">Islamic Financing Module FRD §2–3 (Islamic product, Financing Type); Murabaha Profit FRD §3–4 (Profit Input Type, Profit Amount min/default/max); Mid-term Grace FRD §3 (grace limits per product); Native: term, amount, fees, frequency</t>
  </si>
  <si>
    <t xml:space="preserve">Eligibility tags on the product</t>
  </si>
  <si>
    <t xml:space="preserve">Eligibility Engine rules</t>
  </si>
  <si>
    <t xml:space="preserve">Product variants by type of good, nationality, credit outcome (roadmap #6)</t>
  </si>
  <si>
    <t xml:space="preserve">Murabaha Profit FRD §5.6 (variable instalments keep totals); Native: frequencies, variable instalments</t>
  </si>
  <si>
    <t xml:space="preserve">Reusable schedule templates; skip / seasonal / step-down patterns (roadmap #11.7)</t>
  </si>
  <si>
    <t xml:space="preserve">Native configuration; Islamic Financing Module FRD §9.2 (payment allocation); Murabaha Profit FRD §5.3, §6.15 (rounding, holiday shifts never change Profit)</t>
  </si>
  <si>
    <t xml:space="preserve">Product versioning (new FRD)</t>
  </si>
  <si>
    <t xml:space="preserve">Sharia Supervisory Board approval gate per product version (new FRD)</t>
  </si>
  <si>
    <t xml:space="preserve">Islamic Financing Module FRD §5, §7, §8, §12 (commodity reference, Cost Price, Selling Price); Murabaha Profit FRD §4–5 (Fixed Profit Amount, Selling Price fixed)</t>
  </si>
  <si>
    <t xml:space="preserve">Murabaha workflow system, commodity platform</t>
  </si>
  <si>
    <t xml:space="preserve">Commodity purchase &amp; sale execution steps (roadmap #11.5 / external workflow)</t>
  </si>
  <si>
    <t xml:space="preserve">Document generation &amp; e-sign in the app</t>
  </si>
  <si>
    <t xml:space="preserve">Contract &amp; offer/acceptance documents AR/EN, e-sign, stored with the financing (roadmap #11.1, #10.7)</t>
  </si>
  <si>
    <t xml:space="preserve">Murabaha Profit FRD §6.3, §6.12, §6.16 (no compounding; late charges kept separate from Profit)</t>
  </si>
  <si>
    <t xml:space="preserve">Late charges to charity account; profit recognition rules per product (roadmap #10.5, #10.6)</t>
  </si>
  <si>
    <t xml:space="preserve">Ibra' BRD BR-2 (Ibra' methods per product), BR-5 (partial early settlement)</t>
  </si>
  <si>
    <t xml:space="preserve">Islamic Financing Module FRD §13 (existing accounting engine reused); Murabaha Profit FRD §6.16, §8.8; Native: GL, journal entries, closures</t>
  </si>
  <si>
    <t xml:space="preserve">Murabaha GL model and postings (roadmap #10.6)</t>
  </si>
  <si>
    <t xml:space="preserve">ECL model / provisioning engine</t>
  </si>
  <si>
    <t xml:space="preserve">IFRS 9 / AAOIFI staging &amp; ECL inputs; "under deferment" flag (roadmap #11.3, #31)</t>
  </si>
  <si>
    <t xml:space="preserve">Core Banking System</t>
  </si>
  <si>
    <t xml:space="preserve">Daily LMS vs CBS reconciliation with exceptions (roadmap #21)</t>
  </si>
  <si>
    <t xml:space="preserve">Islamic Financing Module FRD §11.2, §11.4 (creation &amp; schedule APIs); Murabaha Profit FRD §8.7 (schedule calculation with profitAmount)</t>
  </si>
  <si>
    <t xml:space="preserve">Mobile app, Eligibility Engine</t>
  </si>
  <si>
    <t xml:space="preserve">Eligible products from Eligibility Engine output (roadmap #3, #6, #17)</t>
  </si>
  <si>
    <t xml:space="preserve">Native maker-checker; Islamic Financing Module FRD §14</t>
  </si>
  <si>
    <t xml:space="preserve">Murabaha workflow system</t>
  </si>
  <si>
    <t xml:space="preserve">Configurable approval stages; rule-based automatic approval (roadmap #17)</t>
  </si>
  <si>
    <t xml:space="preserve">Disbursement to customer / merchant / commodity counterparty with CBS confirmation (roadmap #11.5)</t>
  </si>
  <si>
    <t xml:space="preserve">Islamic Financing Module FRD §9, §11.5 (repayment processing &amp; API)</t>
  </si>
  <si>
    <t xml:space="preserve">Payment gateways, Core Banking System</t>
  </si>
  <si>
    <t xml:space="preserve">Payment-gateway integration and CBS repayment matching (roadmap #21, #27)</t>
  </si>
  <si>
    <t xml:space="preserve">Ibra' BRD BR-1/BR-2 (settlement methods), BR-3 (auto-approval), BR-6 (in-app quote API); Murabaha Profit FRD §6.13, §6.21 (payoff)</t>
  </si>
  <si>
    <t xml:space="preserve">Quote screen in the app</t>
  </si>
  <si>
    <t xml:space="preserve">Dependency: Early Settlement charge for fixed fee / % options (roadmap #12, #13)</t>
  </si>
  <si>
    <t xml:space="preserve">Ibra' BRD BR-5 (partial early settlement with Ibra', arrears first, last instalments); Murabaha Profit FRD §6.5, §6.11 (Profit unchanged)</t>
  </si>
  <si>
    <t xml:space="preserve">Murabaha Profit FRD §8.1, §6.21 (native top-up blocked for Murabaha)</t>
  </si>
  <si>
    <t xml:space="preserve">Eligibility Engine re-underwriting</t>
  </si>
  <si>
    <t xml:space="preserve">Sharia-compliant top-up flow, new vs consolidated contract (new FRD)</t>
  </si>
  <si>
    <t xml:space="preserve">Native: multiple loans per client</t>
  </si>
  <si>
    <t xml:space="preserve">Exposure limits per product &amp; customer segment (conflicts with roadmap #9)</t>
  </si>
  <si>
    <t xml:space="preserve">Mid-term Grace FRD §3–4 (grace limits per product, maker-checker); Murabaha Profit FRD §6.6–6.8 (deferment never changes Profit)</t>
  </si>
  <si>
    <t xml:space="preserve">Deferment in days (product limit); Murabaha cross-reference in the Grace FRD; deferment API for the app</t>
  </si>
  <si>
    <t xml:space="preserve">Murabaha Profit FRD §6, §8.4–8.6; Mid-term Grace FRD §4.4; Native reschedule + maker-checker</t>
  </si>
  <si>
    <t xml:space="preserve">Murabaha Profit FRD §6.14, §6.19, §6.20 (reversal, Waive Interest blocked, write-off); Ibra' BRD BR-1 (profit waiver only via Ibra'); Native: fee waiver, refund, overpayment</t>
  </si>
  <si>
    <t xml:space="preserve">Partial write-off to verify (roadmap #28)</t>
  </si>
  <si>
    <t xml:space="preserve">Ibra' BRD BR-6 (settlement quote API); Islamic Financing Module FRD §11.4 (schedule API); Murabaha Profit FRD §6.21</t>
  </si>
  <si>
    <t xml:space="preserve">Statement / schedule screens in the app</t>
  </si>
  <si>
    <t xml:space="preserve">Customer statements (app and back-office)</t>
  </si>
  <si>
    <t xml:space="preserve">Native DPD buckets; Murabaha Profit FRD §6.12 (delinquency never adds Profit)</t>
  </si>
  <si>
    <t xml:space="preserve">Amount and missed-instalment thresholds (roadmap #26, #35)</t>
  </si>
  <si>
    <t xml:space="preserve">Native delinquency buckets; Murabaha Profit FRD §6.12</t>
  </si>
  <si>
    <t xml:space="preserve">Collections / notification actions</t>
  </si>
  <si>
    <t xml:space="preserve">Pre-due and legal stages with configurable actions (roadmap #16, #35)</t>
  </si>
  <si>
    <t xml:space="preserve">Notification hub</t>
  </si>
  <si>
    <t xml:space="preserve">Notification templates per product, stage and channel (roadmap #16)</t>
  </si>
  <si>
    <t xml:space="preserve">Notification providers</t>
  </si>
  <si>
    <t xml:space="preserve">SMS, push, email, WhatsApp; AR/EN; delivery status (roadmap #16)</t>
  </si>
  <si>
    <t xml:space="preserve">Collections tool / back-office console</t>
  </si>
  <si>
    <t xml:space="preserve">Collections work queues, promise-to-pay, contact history</t>
  </si>
  <si>
    <t xml:space="preserve">Native RBAC &amp; maker-checker; Islamic Financing Module FRD §14</t>
  </si>
  <si>
    <t xml:space="preserve">Identity provider</t>
  </si>
  <si>
    <t xml:space="preserve">SSO (SAML/OIDC) and MFA</t>
  </si>
  <si>
    <t xml:space="preserve">Native; Islamic Financing Module FRD §14; Murabaha Profit FRD §8.5; Ibra' BRD BR-3; Mid-term Grace FRD §4.4</t>
  </si>
  <si>
    <t xml:space="preserve">Islamic Financing Module FRD §15; Murabaha Profit FRD §8.6; Ibra' BRD BR-4; Mid-term Grace FRD §4.4; Native command audit</t>
  </si>
  <si>
    <t xml:space="preserve">Export for Internal Audit / CBB; read-action logging (roadmap #7)</t>
  </si>
  <si>
    <t xml:space="preserve">Native client view; Islamic Financing Module FRD §7–8 (financing details)</t>
  </si>
  <si>
    <t xml:space="preserve">Notification / document stores</t>
  </si>
  <si>
    <t xml:space="preserve">Communications and documents in one Customer 360 view (roadmap #7)</t>
  </si>
  <si>
    <t xml:space="preserve">Infrastructure / DWH</t>
  </si>
  <si>
    <t xml:space="preserve">Read replica / CDC feed to Bede DWH</t>
  </si>
  <si>
    <t xml:space="preserve">Documentation deliverable</t>
  </si>
  <si>
    <t xml:space="preserve">ERD and data dictionary maintained per release</t>
  </si>
  <si>
    <t xml:space="preserve">Regulatory reporting tool</t>
  </si>
  <si>
    <t xml:space="preserve">Extracts for CBB returns and Sharia audit (roadmap #34, #31)</t>
  </si>
  <si>
    <t xml:space="preserve">Islamic Financing Module FRD §16 (existing reports with Islamic terminology); Murabaha Profit FRD §8.8</t>
  </si>
  <si>
    <t xml:space="preserve">Settlement, profit-recognised and aging reports (roadmap #30, #32, #33, #35)</t>
  </si>
  <si>
    <t xml:space="preserve">Native Fineract scheduler jobs (accruals, aging)</t>
  </si>
  <si>
    <t xml:space="preserve">Monitoring / alerting stack</t>
  </si>
  <si>
    <t xml:space="preserve">Monitoring, idempotency and failure alerting for jobs</t>
  </si>
  <si>
    <t xml:space="preserve">Islamic Financing Module FRD §11 (product, creation, details, schedule, repayment, terminology APIs); Ibra' BRD BR-6; Murabaha Profit FRD §8.7</t>
  </si>
  <si>
    <t xml:space="preserve">Mobile app &amp; mobile backend</t>
  </si>
  <si>
    <t xml:space="preserve">APIs for deferment, top-up, statements, e-sign journeys</t>
  </si>
  <si>
    <t xml:space="preserve">Eligibility Engine</t>
  </si>
  <si>
    <t xml:space="preserve">Eligibility Engine integration (roadmap #3, #6)</t>
  </si>
  <si>
    <t xml:space="preserve">Islamic Financing Module FRD §11.7, §12 (commodity lookup &amp; validation)</t>
  </si>
  <si>
    <t xml:space="preserve">Commodity platform</t>
  </si>
  <si>
    <t xml:space="preserve">Purchase and sale confirmation (roadmap #11.5)</t>
  </si>
  <si>
    <t xml:space="preserve">Payment gateways</t>
  </si>
  <si>
    <t xml:space="preserve">Payment-gateway status, reconciliation, refunds (roadmap #21)</t>
  </si>
  <si>
    <t xml:space="preserve">CBS disbursement, repayment detection, daily reconciliation (roadmap #21)</t>
  </si>
  <si>
    <t xml:space="preserve">Credit bureau connector</t>
  </si>
  <si>
    <t xml:space="preserve">Credit bureau reporting</t>
  </si>
  <si>
    <t xml:space="preserve">AML / screening system</t>
  </si>
  <si>
    <t xml:space="preserve">AML / sanctions hooks at onboarding &amp; disbursement</t>
  </si>
  <si>
    <t xml:space="preserve">Notification provider integration (roadmap #16)</t>
  </si>
  <si>
    <t xml:space="preserve">DWH feed (FR-35)</t>
  </si>
  <si>
    <t xml:space="preserve">SSO identity provider</t>
  </si>
  <si>
    <t xml:space="preserve">Islamic Financing Module FRD §11; Murabaha Profit FRD §8.7 (API changes specified); Native Swagger/OpenAPI</t>
  </si>
  <si>
    <t xml:space="preserve">Published OpenAPI 3.x spec for every new API</t>
  </si>
  <si>
    <t xml:space="preserve">Islamic Financing Module FRD §11.8 (idempotency), §11.9 (retry &amp; failure handling)</t>
  </si>
  <si>
    <t xml:space="preserve">Integration layer</t>
  </si>
  <si>
    <t xml:space="preserve">Dead-letter handling; automated reconciliation per external system</t>
  </si>
  <si>
    <t xml:space="preserve">Native Fineract hooks / external events</t>
  </si>
  <si>
    <t xml:space="preserve">Confirm events needed by Bede</t>
  </si>
  <si>
    <t xml:space="preserve">Islamic Financing Module FRD §11.12 (backward compatibility, existing versioning policy)</t>
  </si>
  <si>
    <t xml:space="preserve">API governance</t>
  </si>
  <si>
    <t xml:space="preserve">Documented deprecation policy</t>
  </si>
  <si>
    <t xml:space="preserve">Logging / API gateway</t>
  </si>
  <si>
    <t xml:space="preserve">No PII in URLs, query strings or logs</t>
  </si>
  <si>
    <t xml:space="preserve">Hosting / infrastructure</t>
  </si>
  <si>
    <t xml:space="preserve">Availability target</t>
  </si>
  <si>
    <t xml:space="preserve">RTO / RPO</t>
  </si>
  <si>
    <t xml:space="preserve">Infrastructure sizing</t>
  </si>
  <si>
    <t xml:space="preserve">Throughput and latency targets</t>
  </si>
  <si>
    <t xml:space="preserve">Delivery / testing</t>
  </si>
  <si>
    <t xml:space="preserve">Performance test at 3–5x peak</t>
  </si>
  <si>
    <t xml:space="preserve">Multi-AZ AWS deployment; DR tests</t>
  </si>
  <si>
    <t xml:space="preserve">Data in Bede's AWS account</t>
  </si>
  <si>
    <t xml:space="preserve">Infrastructure</t>
  </si>
  <si>
    <t xml:space="preserve">Encryption at rest / in transit; secrets vault</t>
  </si>
  <si>
    <t xml:space="preserve">Logging stack</t>
  </si>
  <si>
    <t xml:space="preserve">PII masking in logs; separate PII log tier</t>
  </si>
  <si>
    <t xml:space="preserve">CI/CD</t>
  </si>
  <si>
    <t xml:space="preserve">SAST / DAST / dependency &amp; container scanning</t>
  </si>
  <si>
    <t xml:space="preserve">Independent pen test</t>
  </si>
  <si>
    <t xml:space="preserve">Support process</t>
  </si>
  <si>
    <t xml:space="preserve">Vulnerability SLAs</t>
  </si>
  <si>
    <t xml:space="preserve">Security programme</t>
  </si>
  <si>
    <t xml:space="preserve">OWASP ASVS / CBB cybersecurity alignment</t>
  </si>
  <si>
    <t xml:space="preserve">HR / access process</t>
  </si>
  <si>
    <t xml:space="preserve">Named, background-checked personnel with MFA</t>
  </si>
  <si>
    <t xml:space="preserve">Observability stack</t>
  </si>
  <si>
    <t xml:space="preserve">Structured logs, metrics, traces, health endpoints</t>
  </si>
  <si>
    <t xml:space="preserve">Operations</t>
  </si>
  <si>
    <t xml:space="preserve">Alert definitions and runbooks</t>
  </si>
  <si>
    <t xml:space="preserve">Data retention &amp; purge policies (CBB &amp; PDPL)</t>
  </si>
  <si>
    <t xml:space="preserve">Containers on Bede EKS; IaC</t>
  </si>
  <si>
    <t xml:space="preserve">Environment parity</t>
  </si>
  <si>
    <t xml:space="preserve">Platform: LMS built on Apache Fineract</t>
  </si>
  <si>
    <t xml:space="preserve">Pinned upstream version, upgrade path, no fork (confirm)</t>
  </si>
  <si>
    <t xml:space="preserve">Deployment pipeline</t>
  </si>
  <si>
    <t xml:space="preserve">Zero-downtime deployments</t>
  </si>
  <si>
    <t xml:space="preserve">Tested rollback per deployment</t>
  </si>
  <si>
    <t xml:space="preserve">Project delivery</t>
  </si>
  <si>
    <t xml:space="preserve">Delivery obligation – covered in the proposal / SOW and project plan</t>
  </si>
  <si>
    <t xml:space="preserve">Migration scripts / ETL</t>
  </si>
  <si>
    <t xml:space="preserve">Migration of customers, contracts, schedules, history, balances, documents (roadmap #36)</t>
  </si>
  <si>
    <t xml:space="preserve">Migration deliverable</t>
  </si>
  <si>
    <t xml:space="preserve">Field-level mapping document (roadmap #36)</t>
  </si>
  <si>
    <t xml:space="preserve">Migration tooling</t>
  </si>
  <si>
    <t xml:space="preserve">Reconciliation to the fils; sign-off (roadmap #36)</t>
  </si>
  <si>
    <t xml:space="preserve">Murabaha Profit FRD §8.9 (Contractual Profit captured for existing Murabaha at go-live)</t>
  </si>
  <si>
    <t xml:space="preserve">Original terms and history visible after migration (roadmap #36)</t>
  </si>
  <si>
    <t xml:space="preserve">Migration / app</t>
  </si>
  <si>
    <t xml:space="preserve">Full simulation cycles with new app build (roadmap #36)</t>
  </si>
  <si>
    <t xml:space="preserve">Migration plan</t>
  </si>
  <si>
    <t xml:space="preserve">Cut-over downtime ≤ 2 hours (roadmap #36)</t>
  </si>
  <si>
    <t xml:space="preserve">Rehearsed rollback plan (roadmap #36)</t>
  </si>
  <si>
    <t xml:space="preserve">Data freeze, communication plan, validation checklist (roadmap #36)</t>
  </si>
  <si>
    <t xml:space="preserve">Support model</t>
  </si>
  <si>
    <t xml:space="preserve">Support obligation – covered in the support &amp; SLA agreement</t>
  </si>
  <si>
    <t xml:space="preserve">Contract</t>
  </si>
  <si>
    <t xml:space="preserve">Commercial term – covered in the contract</t>
  </si>
  <si>
    <t xml:space="preserve">Project governance</t>
  </si>
  <si>
    <t xml:space="preserve">Governance obligation – covered in the project plan</t>
  </si>
  <si>
    <t xml:space="preserve">#</t>
  </si>
  <si>
    <t xml:space="preserve">Workstream</t>
  </si>
  <si>
    <t xml:space="preserve">Required Task / Capability</t>
  </si>
  <si>
    <t xml:space="preserve">Recommendation / Clarification</t>
  </si>
  <si>
    <t xml:space="preserve">Parallelization / Dependency</t>
  </si>
  <si>
    <t xml:space="preserve">Required in Initial SOW (Annex 1)</t>
  </si>
  <si>
    <t xml:space="preserve">Phases</t>
  </si>
  <si>
    <t xml:space="preserve">Note</t>
  </si>
  <si>
    <t xml:space="preserve">Estimation in MD</t>
  </si>
  <si>
    <t xml:space="preserve">Streams</t>
  </si>
  <si>
    <t xml:space="preserve">Owner if BEDE Select Mambu</t>
  </si>
  <si>
    <t xml:space="preserve">Estimation If Mambu</t>
  </si>
  <si>
    <t xml:space="preserve">Status Description</t>
  </si>
  <si>
    <t xml:space="preserve">Partner API / Facade</t>
  </si>
  <si>
    <t xml:space="preserve">Tamam-facing REST to replace Optasia (availability, eligibility, register, offers, submit, loans, closing-amount, callbacks)</t>
  </si>
  <si>
    <t xml:space="preserve">lms-client is the Optasia replacement. HMAC or WSO2 OAuth. Wallet must switch base URL. Rotate leaked HMAC keys; do not put keys in Jira.</t>
  </si>
  <si>
    <t xml:space="preserve">Stream 1 </t>
  </si>
  <si>
    <t xml:space="preserve">Shared</t>
  </si>
  <si>
    <t xml:space="preserve">Tamam–Mambu integration required</t>
  </si>
  <si>
    <t xml:space="preserve">Credit Decisioning</t>
  </si>
  <si>
    <t xml:space="preserve">Configurable Risk Acceptance Criteria (RAC) / Hard Eligibility Rules</t>
  </si>
  <si>
    <t xml:space="preserve">Define and execute hard eligibility rules such as age, income, employment tenure, write-off, DBR/disposable income, nationality, etc. Can leverage GoRules.</t>
  </si>
  <si>
    <t xml:space="preserve">Can start in parallel with scoring integration once rule structure is agreed</t>
  </si>
  <si>
    <t xml:space="preserve">Stream 2</t>
  </si>
  <si>
    <t xml:space="preserve">FOO</t>
  </si>
  <si>
    <t xml:space="preserve">Borrower Eligibility Check &amp; Decisioning API</t>
  </si>
  <si>
    <t xml:space="preserve">Better than “API to check on RAC.” The API should return ELIGIBLE / NOT_ELIGIBLE, rejection reasons and applicable eligibility results. RAC is one input to this decision.</t>
  </si>
  <si>
    <t xml:space="preserve">Depends on RAC design; API contract can start in parallel</t>
  </si>
  <si>
    <t xml:space="preserve">Credit Scoring Input Attributes &amp; Data Mapping</t>
  </si>
  <si>
    <t xml:space="preserve">Existing priority. Define required attributes, source mapping, derived fields and external enrichment required by each scoring model.</t>
  </si>
  <si>
    <t xml:space="preserve">Can start immediately in parallel</t>
  </si>
  <si>
    <t xml:space="preserve">LMS–Credit Scoring Platform Integration</t>
  </si>
  <si>
    <t xml:space="preserve">Existing priority. Covers triggering scoring, request/response mapping, persistence and handling of score/decision/model/execution details.</t>
  </si>
  <si>
    <t xml:space="preserve">Can start in parallel with #1 and #3; final testing depends on model/input readiness</t>
  </si>
  <si>
    <t xml:space="preserve">Stream L1</t>
  </si>
  <si>
    <t xml:space="preserve">FOO Credit Scoring–Mambu integration required</t>
  </si>
  <si>
    <t xml:space="preserve">Credit Decisioning / Offers</t>
  </si>
  <si>
    <t xml:space="preserve">Risk-Band-Based Product Eligibility &amp; Offer Determination</t>
  </si>
  <si>
    <t xml:space="preserve">Determine eligible products, maximum amount, eligible tenure and potentially pricing based on score/risk band.</t>
  </si>
  <si>
    <t xml:space="preserve">Depends on scoring outputs/risk bands, but design can start in parallel</t>
  </si>
  <si>
    <t xml:space="preserve"> </t>
  </si>
  <si>
    <t xml:space="preserve">FOO decisioning with Mambu product data</t>
  </si>
  <si>
    <t xml:space="preserve">Persist decisioning snapshot for audit and care portal</t>
  </si>
  <si>
    <t xml:space="preserve">Immutable JSON of RAC/score/offer inputs per eligibility run. Needed for rejection history.</t>
  </si>
  <si>
    <t xml:space="preserve">FOO decisioning results integrated with Mambu</t>
  </si>
  <si>
    <t xml:space="preserve">Customer / KYC</t>
  </si>
  <si>
    <t xml:space="preserve">Borrower KYC capture, update and deactivate (EN/AR)</t>
  </si>
  <si>
    <t xml:space="preserve">Fineract client is system of record. LMS maps Optasia borrower APIs onto create/update/close client plus datatables.</t>
  </si>
  <si>
    <t xml:space="preserve">Integration Effort - Mambu becomes the customer system of record, while FOO still needs to connect the Tamam customer journey to Mambu</t>
  </si>
  <si>
    <t xml:space="preserve">Enforce one active loan per customer</t>
  </si>
  <si>
    <t xml:space="preserve">Not a Fineract product switch. LMS pre-check plus ledger guard. Confirm whether Closed/Cancelled frees the slot.</t>
  </si>
  <si>
    <t xml:space="preserve">Mambu</t>
  </si>
  <si>
    <t xml:space="preserve">Islamic Financing-Core</t>
  </si>
  <si>
    <t xml:space="preserve">Murabaha Profit Configuration, Fixed Profit Schedule Allocation &amp; Rescheduling Controls</t>
  </si>
  <si>
    <t xml:space="preserve">Existing priority Your existing Murabaha scope can cover the Islamic-financing requirements needed by the target solution.</t>
  </si>
  <si>
    <t xml:space="preserve">Independent workstream – can run fully in parallel</t>
  </si>
  <si>
    <t xml:space="preserve">Stream L2</t>
  </si>
  <si>
    <t xml:space="preserve">Murabaha Lifecycle &amp; Sale Execution Controls, Maker-Checker, Audit &amp; Evidence Management</t>
  </si>
  <si>
    <t xml:space="preserve">Ibra' &amp; Early Settlement</t>
  </si>
  <si>
    <t xml:space="preserve">Takaful / Insurance Classification &amp; Treatment</t>
  </si>
  <si>
    <t xml:space="preserve">Late Payment &amp; Charity Accounting , Management</t>
  </si>
  <si>
    <t xml:space="preserve">Murabaha Accounting, GL, Profit Suspension &amp; Odoo Integration</t>
  </si>
  <si>
    <t xml:space="preserve">CBB Consumer Disclosure</t>
  </si>
  <si>
    <t xml:space="preserve">Islamic Financing </t>
  </si>
  <si>
    <t xml:space="preserve">Murabaha Documents &amp; Template Management</t>
  </si>
  <si>
    <t xml:space="preserve">Multi-Currency Purchase &amp; FX</t>
  </si>
  <si>
    <t xml:space="preserve">IFRS 9 / CBB ECL Integration</t>
  </si>
  <si>
    <t xml:space="preserve">Wakala Workflow</t>
  </si>
  <si>
    <t xml:space="preserve">Tawarruq &amp; Commodity Transaction Integration</t>
  </si>
  <si>
    <t xml:space="preserve">Wa'd &amp; Hamish Jiddiyyah</t>
  </si>
  <si>
    <t xml:space="preserve">Grace / Moratorium / Balloon / Step-up Structures</t>
  </si>
  <si>
    <t xml:space="preserve">Early Settlement</t>
  </si>
  <si>
    <t xml:space="preserve">Early Settlement Event / Trigger Support</t>
  </si>
  <si>
    <t xml:space="preserve">Define the settlement-specific event used for charges, interest treatment, advices, accounting, etc.</t>
  </si>
  <si>
    <t xml:space="preserve">Can start in parallel with other early-settlement items</t>
  </si>
  <si>
    <t xml:space="preserve">Early Settlement Fee / Charge Support</t>
  </si>
  <si>
    <t xml:space="preserve">Allows a charge specifically triggered by early settlement.</t>
  </si>
  <si>
    <t xml:space="preserve">Partially parallel; depends on settlement event/trigger design</t>
  </si>
  <si>
    <t xml:space="preserve">Early Settlement Fee Waiver</t>
  </si>
  <si>
    <t xml:space="preserve">Support selective/all applicable fee waiver during settlement if required.</t>
  </si>
  <si>
    <t xml:space="preserve">Partially parallel; depends on fee handling design</t>
  </si>
  <si>
    <t xml:space="preserve">Early Settlement Interest / Profit Adjustment</t>
  </si>
  <si>
    <t xml:space="preserve">Define discount/recalculation of remaining interest/profit when settling early.</t>
  </si>
  <si>
    <t xml:space="preserve">Can be developed in parallel with fee work but integrated together</t>
  </si>
  <si>
    <t xml:space="preserve">Partially</t>
  </si>
  <si>
    <t xml:space="preserve">SOW requires accrued profit up to settlement date as part of the calculation, but does not define Optasia-style profit discount/waiver behavior.</t>
  </si>
  <si>
    <t xml:space="preserve">Notifications</t>
  </si>
  <si>
    <t xml:space="preserve">Loan Notifications &amp; Reminder Orchestration</t>
  </si>
  <si>
    <t xml:space="preserve">Covers event-driven advices plus scheduled EMI reminders, delinquency reminders and recurring collection notifications.  Advices framework already covers much of the event-driven portion.</t>
  </si>
  <si>
    <t xml:space="preserve">Can run in parallel; event reminders depend on source events being available</t>
  </si>
  <si>
    <t xml:space="preserve">Mambu events integrated with FOO customer channels</t>
  </si>
  <si>
    <t xml:space="preserve">Origination / Workflow</t>
  </si>
  <si>
    <t xml:space="preserve">LMS Loan Origination &amp; Status Workflow Enhancements</t>
  </si>
  <si>
    <t xml:space="preserve">Specify the missing Optasia lifecycle/status/callback behavior under this workstream.</t>
  </si>
  <si>
    <t xml:space="preserve">Can start in parallel, but exact estimate depends on missing lifecycle gaps</t>
  </si>
  <si>
    <t xml:space="preserve">SOW requires lifecycle status tracking and backend offer creation/customer acceptance, but not the exact Optasia workflow/status/callback model.</t>
  </si>
  <si>
    <t xml:space="preserve">Mambu owns loan lifecycle; FOO must map Tamam journeys/statuses/callbacks to Mambu.</t>
  </si>
  <si>
    <t xml:space="preserve">Origination / Offers</t>
  </si>
  <si>
    <t xml:space="preserve">Loan Offer Caching &amp; Refresh</t>
  </si>
  <si>
    <t xml:space="preserve">Covers caching offer results and forced recalculation/refresh where required.</t>
  </si>
  <si>
    <t xml:space="preserve">Can run in parallel with offer decisioning; depends on final offer API contract</t>
  </si>
  <si>
    <t xml:space="preserve">Check if currently available and no more effort</t>
  </si>
  <si>
    <t xml:space="preserve">Origination</t>
  </si>
  <si>
    <t xml:space="preserve">Application Expiry &amp; Automatic Cancellation</t>
  </si>
  <si>
    <t xml:space="preserve">72 hours can be the configured value for the implementation.</t>
  </si>
  <si>
    <t xml:space="preserve">Independent enough to run in parallel</t>
  </si>
  <si>
    <t xml:space="preserve">Pricing / Promotions</t>
  </si>
  <si>
    <t xml:space="preserve">Promo Code &amp; Promotional Discount Support</t>
  </si>
  <si>
    <t xml:space="preserve">Clarify whether promo codes affect administration fees, pricing, profit/interest, or another charge.</t>
  </si>
  <si>
    <t xml:space="preserve">Can run in parallel; depends on whether promo impacts fees, rate, or both</t>
  </si>
  <si>
    <t xml:space="preserve">Tamam promotion flow with Mambu pricing/fees</t>
  </si>
  <si>
    <t xml:space="preserve">Payments / Integration</t>
  </si>
  <si>
    <t xml:space="preserve">External Repayment &amp; Bank Reconciliation Integration</t>
  </si>
  <si>
    <t xml:space="preserve">Integrate LMS with payment gateways and banking channels for inbound repayment processing and reconciliation of LMS customer outstanding balances against inward and outward bank cash movements.</t>
  </si>
  <si>
    <t xml:space="preserve">Can start in parallel once external provider contracts/APIs are available</t>
  </si>
  <si>
    <t xml:space="preserve">The SOW explicitly says Payment Channel Integration must integrate with payment gateways and banking channels for “inbound repayment processing and reconciliation.”</t>
  </si>
  <si>
    <t xml:space="preserve">Stream X</t>
  </si>
  <si>
    <t xml:space="preserve">External repayment integration with Mambu</t>
  </si>
  <si>
    <t xml:space="preserve">Accounting</t>
  </si>
  <si>
    <t xml:space="preserve">Accounting / ERP Integration</t>
  </si>
  <si>
    <t xml:space="preserve">Can run in parallel; reuse existing accounting integration where possible</t>
  </si>
  <si>
    <t xml:space="preserve">Customer Service</t>
  </si>
  <si>
    <t xml:space="preserve">CRM / Ticketing Integration</t>
  </si>
  <si>
    <t xml:space="preserve">Ticketing should normally be owned by CRM/helpdesk rather than rebuilt inside Fineract.</t>
  </si>
  <si>
    <t xml:space="preserve">Independent workstream – can run in parallel</t>
  </si>
  <si>
    <t xml:space="preserve">CRM integration = Yes; ticketing/helpdesk specifically = not stated. SOW requires bidirectional CRM synchronization/workflow coordination.</t>
  </si>
  <si>
    <t xml:space="preserve">Confirm CRM/ticketing integration ownership</t>
  </si>
  <si>
    <t xml:space="preserve">before STream X</t>
  </si>
  <si>
    <t xml:space="preserve">Customer Data</t>
  </si>
  <si>
    <t xml:space="preserve">Borrower Data Refresh / Re-registration</t>
  </si>
  <si>
    <t xml:space="preserve"> Fineract client update may cover most of it; dedicated refresh orchestration needs validation.</t>
  </si>
  <si>
    <t xml:space="preserve">Can run in parallel after refresh behavior is confirmed</t>
  </si>
  <si>
    <t xml:space="preserve">Product / Pricing</t>
  </si>
  <si>
    <t xml:space="preserve">Regulatory APR Calculation</t>
  </si>
  <si>
    <t xml:space="preserve">Refer to APR Sheet </t>
  </si>
  <si>
    <t xml:space="preserve">Automatically calculate APR for regulatory disclosure. This was identified in our Optasia analysis as well, but is missing from your replacement-task summary.</t>
  </si>
  <si>
    <t xml:space="preserve">Delinquency / Accounting</t>
  </si>
  <si>
    <t xml:space="preserve">90+ DPD Profit Accrual Suspension</t>
  </si>
  <si>
    <t xml:space="preserve">Automatically identify agreements exceeding 90 DPD and stop profit accrual on those accounts. This is more than normal delinquency classification.</t>
  </si>
  <si>
    <t xml:space="preserve">Validate whether Fineract's NPA/delinquency configuration stops accrual automatically once the configured DPD threshold is reached</t>
  </si>
  <si>
    <t xml:space="preserve">Repayment (wallet/Cheque/Card)</t>
  </si>
  <si>
    <t xml:space="preserve">EMI schedule, oldest-unpaid-first allocation, and partial repayment held until a full EMI</t>
  </si>
  <si>
    <t xml:space="preserve">Fineract schedule and allocation are configurable. Tamam internal wallet vs advance payment must be confirmed before building a new wallet.</t>
  </si>
  <si>
    <t xml:space="preserve">Write-Off</t>
  </si>
  <si>
    <t xml:space="preserve">Partial &amp; Full Loan Write-Off</t>
  </si>
  <si>
    <t xml:space="preserve">Full write-off exists in Fineract/FOO, but SOW1 specifically asks for partial and full write-off, including accounting entries and audit. The key item to validate is partial write-off.</t>
  </si>
  <si>
    <t xml:space="preserve">Need Verification</t>
  </si>
  <si>
    <t xml:space="preserve">Business &amp; System Configuration Management</t>
  </si>
  <si>
    <t xml:space="preserve">Stream P</t>
  </si>
  <si>
    <t xml:space="preserve">Real-Time Management &amp; Financial Dashboards</t>
  </si>
  <si>
    <t xml:space="preserve">Profit Income &amp; Yield Analysis/Receivable &amp; Deferred Profit Movement Dashboard/Enhanced Aging Analysis – Outstanding &amp; Deferred Profit</t>
  </si>
  <si>
    <t xml:space="preserve">Enhance the existing LMS Dashboard to provide portfolio-level profit income and yield analysis... as required by SOW1. This should extend the existing dashboard rather than create a new dashboard capability.
Refer to Dashboard Requirements Sheet</t>
  </si>
  <si>
    <t xml:space="preserve">Can be developed in parallel with other dashboard enhancements; depends on availability and accuracy of profit/income data</t>
  </si>
  <si>
    <t xml:space="preserve">Stream R</t>
  </si>
  <si>
    <t xml:space="preserve">TBD</t>
  </si>
  <si>
    <t xml:space="preserve">Operational, Financial &amp; Regulatory Reporting</t>
  </si>
  <si>
    <t xml:space="preserve">AAOIFI / FAS Reporting</t>
  </si>
  <si>
    <t xml:space="preserve">AAOIFI-compliant accounting/reporting; provisioning and future ECL support</t>
  </si>
  <si>
    <t xml:space="preserve">N/A</t>
  </si>
  <si>
    <t xml:space="preserve">Deferred / Unearned Profit Movement Report</t>
  </si>
  <si>
    <t xml:space="preserve">Profit charged, closed-account reversals, new disbursements</t>
  </si>
  <si>
    <t xml:space="preserve">Receivable Balance Movement Report</t>
  </si>
  <si>
    <t xml:space="preserve">New disbursements, repayments, closed-account reversals, write-offs</t>
  </si>
  <si>
    <t xml:space="preserve">Regulatory Reporting – CBB</t>
  </si>
  <si>
    <t xml:space="preserve">Reports aligned with Central Bank of Bahrain requirements</t>
  </si>
  <si>
    <t xml:space="preserve">Aging &amp; Delinquency Reporting</t>
  </si>
  <si>
    <t xml:space="preserve">DPD buckets, &gt;90 DPD, legal fees/penalties, 3–36 month aging, repayment delays, maximum historical delinquency</t>
  </si>
  <si>
    <t xml:space="preserve">Data Migration </t>
  </si>
  <si>
    <t xml:space="preserve">Stream M</t>
  </si>
  <si>
    <t xml:space="preserve">TOTAL</t>
  </si>
  <si>
    <t xml:space="preserve">Sum of Estimation in MD (1 developer). Vendor wait and BEDE UAT calendar are outside these numbers.</t>
  </si>
  <si>
    <t xml:space="preserve">Check Credit Scoring Security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</si>
</sst>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i val="true"/>
      <sz val="9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9"/>
      <name val="Calibri"/>
      <family val="0"/>
      <charset val="1"/>
    </font>
    <font>
      <sz val="11"/>
      <color theme="1"/>
      <name val="Aptos Narrow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trike val="true"/>
      <sz val="11"/>
      <color theme="1"/>
      <name val="Calibri"/>
      <family val="0"/>
      <charset val="1"/>
    </font>
    <font>
      <b val="true"/>
      <strike val="true"/>
      <sz val="11"/>
      <color rgb="FFFF0000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AD3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D9D9D9"/>
      </patternFill>
    </fill>
    <fill>
      <patternFill patternType="solid">
        <fgColor rgb="FFF4B084"/>
        <bgColor rgb="FFFFC7CE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9D9D9"/>
        <bgColor rgb="FFCFE2F3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D9EAD3"/>
      </patternFill>
    </fill>
    <fill>
      <patternFill patternType="solid">
        <fgColor rgb="FFCFE2F3"/>
        <bgColor rgb="FFDDEBF7"/>
      </patternFill>
    </fill>
    <fill>
      <patternFill patternType="solid">
        <fgColor rgb="FFFFFFFF"/>
        <bgColor rgb="FFEDEDED"/>
      </patternFill>
    </fill>
    <fill>
      <patternFill patternType="solid">
        <fgColor rgb="FFD9EAD3"/>
        <bgColor rgb="FFE2EFDA"/>
      </patternFill>
    </fill>
    <fill>
      <patternFill patternType="solid">
        <fgColor rgb="FFFFFF00"/>
        <bgColor rgb="FFFFEB9C"/>
      </patternFill>
    </fill>
    <fill>
      <patternFill patternType="solid">
        <fgColor rgb="FFFF0000"/>
        <bgColor rgb="FFC00000"/>
      </patternFill>
    </fill>
    <fill>
      <patternFill patternType="solid">
        <fgColor rgb="FFB6D7A8"/>
        <bgColor rgb="FFC6E0B4"/>
      </patternFill>
    </fill>
    <fill>
      <patternFill patternType="solid">
        <fgColor rgb="FFFF99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1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b val="1"/>
      </font>
      <fill>
        <patternFill>
          <bgColor rgb="FFC6EFCE"/>
        </patternFill>
      </fill>
    </dxf>
    <dxf>
      <font>
        <b val="1"/>
      </font>
      <fill>
        <patternFill>
          <bgColor rgb="FFFFEB9C"/>
        </patternFill>
      </fill>
    </dxf>
    <dxf>
      <font>
        <b val="1"/>
      </font>
      <fill>
        <patternFill>
          <bgColor rgb="FFFFC7CE"/>
        </patternFill>
      </fill>
    </dxf>
    <dxf>
      <font>
        <b val="1"/>
      </font>
      <fill>
        <patternFill>
          <bgColor rgb="FFF4B084"/>
        </patternFill>
      </fill>
    </dxf>
    <dxf>
      <font>
        <b val="1"/>
      </font>
      <fill>
        <patternFill>
          <bgColor rgb="FFDDEBF7"/>
        </patternFill>
      </fill>
    </dxf>
    <dxf>
      <font>
        <b val="1"/>
      </font>
      <fill>
        <patternFill>
          <bgColor rgb="FFEDEDED"/>
        </patternFill>
      </fill>
    </dxf>
    <dxf>
      <font>
        <b val="1"/>
      </font>
      <fill>
        <patternFill>
          <bgColor rgb="FFD9D9D9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E2EFDA"/>
        </patternFill>
      </fill>
    </dxf>
    <dxf>
      <font>
        <b val="1"/>
      </font>
      <fill>
        <patternFill>
          <bgColor rgb="FFC6E0B4"/>
        </patternFill>
      </fill>
    </dxf>
    <dxf>
      <font>
        <b val="1"/>
      </font>
      <fill>
        <patternFill>
          <bgColor rgb="FFBDD7EE"/>
        </patternFill>
      </fill>
    </dxf>
    <dxf>
      <font>
        <b val="1"/>
      </font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CFE2F3"/>
      <rgbColor rgb="FF993366"/>
      <rgbColor rgb="FFFFF2CC"/>
      <rgbColor rgb="FFDDEBF7"/>
      <rgbColor rgb="FF660066"/>
      <rgbColor rgb="FFEDEDED"/>
      <rgbColor rgb="FF0066CC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6D7A8"/>
      <rgbColor rgb="FFF4B084"/>
      <rgbColor rgb="FFD9D9D9"/>
      <rgbColor rgb="FFFFC7CE"/>
      <rgbColor rgb="FF3366FF"/>
      <rgbColor rgb="FF33CCCC"/>
      <rgbColor rgb="FF99CC00"/>
      <rgbColor rgb="FFD9EAD3"/>
      <rgbColor rgb="FFFF9900"/>
      <rgbColor rgb="FFFF6600"/>
      <rgbColor rgb="FF666699"/>
      <rgbColor rgb="FFC6E0B4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46"/>
    <col collapsed="false" customWidth="true" hidden="false" outlineLevel="0" max="6" min="6" style="0" width="39.29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7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48"/>
    <col collapsed="false" customWidth="true" hidden="false" outlineLevel="0" max="14" min="14" style="0" width="30"/>
    <col collapsed="false" customWidth="true" hidden="false" outlineLevel="0" max="15" min="15" style="0" width="40"/>
    <col collapsed="false" customWidth="true" hidden="false" outlineLevel="0" max="16" min="16" style="0" width="36"/>
    <col collapsed="false" customWidth="true" hidden="false" outlineLevel="0" max="25" min="17" style="0" width="8.71"/>
    <col collapsed="false" customWidth="true" hidden="true" outlineLevel="0" max="26" min="26" style="0" width="13"/>
  </cols>
  <sheetData>
    <row r="1" customFormat="false" ht="14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4.25" hidden="false" customHeight="true" outlineLevel="0" collapsed="false"/>
    <row r="4" customFormat="false" ht="15.75" hidden="false" customHeight="true" outlineLevel="0" collapsed="false">
      <c r="A4" s="3" t="s">
        <v>2</v>
      </c>
      <c r="B4" s="3" t="s">
        <v>3</v>
      </c>
      <c r="C4" s="3" t="s">
        <v>4</v>
      </c>
      <c r="D4" s="3"/>
      <c r="E4" s="4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30" hidden="false" customHeight="true" outlineLevel="0" collapsed="false">
      <c r="A5" s="5" t="s">
        <v>6</v>
      </c>
      <c r="B5" s="6" t="n">
        <f aca="false">COUNTIF($J$16:$J$154,A5)</f>
        <v>6</v>
      </c>
      <c r="C5" s="7" t="s">
        <v>7</v>
      </c>
      <c r="D5" s="7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Z5" s="9" t="s">
        <v>6</v>
      </c>
    </row>
    <row r="6" customFormat="false" ht="30" hidden="false" customHeight="true" outlineLevel="0" collapsed="false">
      <c r="A6" s="10" t="s">
        <v>9</v>
      </c>
      <c r="B6" s="6" t="n">
        <f aca="false">COUNTIF($J$16:$J$154,A6)</f>
        <v>33</v>
      </c>
      <c r="C6" s="7" t="s">
        <v>10</v>
      </c>
      <c r="D6" s="7"/>
      <c r="E6" s="8" t="s">
        <v>11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Z6" s="9" t="s">
        <v>9</v>
      </c>
    </row>
    <row r="7" customFormat="false" ht="30" hidden="false" customHeight="true" outlineLevel="0" collapsed="false">
      <c r="A7" s="11" t="s">
        <v>12</v>
      </c>
      <c r="B7" s="6" t="n">
        <f aca="false">COUNTIF($J$16:$J$154,A7)</f>
        <v>27</v>
      </c>
      <c r="C7" s="7" t="s">
        <v>13</v>
      </c>
      <c r="D7" s="7"/>
      <c r="E7" s="8" t="s">
        <v>14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Z7" s="9" t="s">
        <v>12</v>
      </c>
    </row>
    <row r="8" customFormat="false" ht="30" hidden="false" customHeight="true" outlineLevel="0" collapsed="false">
      <c r="A8" s="12" t="s">
        <v>15</v>
      </c>
      <c r="B8" s="6" t="n">
        <f aca="false">COUNTIF($J$16:$J$154,A8)</f>
        <v>8</v>
      </c>
      <c r="C8" s="7" t="s">
        <v>16</v>
      </c>
      <c r="D8" s="7"/>
      <c r="E8" s="8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Z8" s="9" t="s">
        <v>15</v>
      </c>
    </row>
    <row r="9" customFormat="false" ht="30" hidden="false" customHeight="true" outlineLevel="0" collapsed="false">
      <c r="A9" s="13" t="s">
        <v>18</v>
      </c>
      <c r="B9" s="6" t="n">
        <f aca="false">COUNTIF($J$16:$J$154,A9)</f>
        <v>4</v>
      </c>
      <c r="C9" s="7" t="s">
        <v>19</v>
      </c>
      <c r="D9" s="7"/>
      <c r="E9" s="8" t="s">
        <v>20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Z9" s="9" t="s">
        <v>18</v>
      </c>
    </row>
    <row r="10" customFormat="false" ht="30" hidden="false" customHeight="true" outlineLevel="0" collapsed="false">
      <c r="A10" s="14" t="s">
        <v>21</v>
      </c>
      <c r="B10" s="6" t="n">
        <f aca="false">COUNTIF($J$16:$J$154,A10)</f>
        <v>43</v>
      </c>
      <c r="C10" s="7" t="s">
        <v>22</v>
      </c>
      <c r="D10" s="7"/>
      <c r="E10" s="8" t="s">
        <v>23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Z10" s="9" t="s">
        <v>21</v>
      </c>
    </row>
    <row r="11" customFormat="false" ht="30" hidden="false" customHeight="true" outlineLevel="0" collapsed="false">
      <c r="A11" s="15" t="s">
        <v>24</v>
      </c>
      <c r="B11" s="6" t="n">
        <f aca="false">COUNTIF($J$16:$J$154,A11)</f>
        <v>12</v>
      </c>
      <c r="C11" s="7" t="s">
        <v>25</v>
      </c>
      <c r="D11" s="7"/>
      <c r="Z11" s="9" t="s">
        <v>24</v>
      </c>
    </row>
    <row r="12" customFormat="false" ht="30" hidden="false" customHeight="true" outlineLevel="0" collapsed="false">
      <c r="A12" s="16" t="s">
        <v>26</v>
      </c>
      <c r="B12" s="6" t="n">
        <f aca="false">COUNTIF($J$16:$J$154,A12)</f>
        <v>3</v>
      </c>
      <c r="C12" s="7" t="s">
        <v>27</v>
      </c>
      <c r="D12" s="7"/>
      <c r="Z12" s="9" t="s">
        <v>26</v>
      </c>
    </row>
    <row r="13" customFormat="false" ht="30" hidden="false" customHeight="true" outlineLevel="0" collapsed="false">
      <c r="A13" s="17" t="s">
        <v>28</v>
      </c>
      <c r="B13" s="6" t="n">
        <f aca="false">COUNTIF($J$16:$J$154,A13)</f>
        <v>2</v>
      </c>
      <c r="C13" s="7" t="s">
        <v>29</v>
      </c>
      <c r="D13" s="7"/>
      <c r="Z13" s="9" t="s">
        <v>28</v>
      </c>
    </row>
    <row r="14" customFormat="false" ht="14.25" hidden="false" customHeight="true" outlineLevel="0" collapsed="false">
      <c r="A14" s="18" t="s">
        <v>30</v>
      </c>
      <c r="B14" s="18" t="n">
        <f aca="false">SUM(B5:B13)</f>
        <v>138</v>
      </c>
      <c r="C14" s="19" t="str">
        <f aca="false">COUNTIF($B$16:$B$154,"BEDE Scope")&amp;" BEDE requirements + "&amp;COUNTIF($B$16:$B$154,"Roadmap only")&amp;" roadmap-only items (no BEDE requirement)"</f>
        <v>118 BEDE requirements + 20 roadmap-only items (no BEDE requirement)</v>
      </c>
    </row>
    <row r="15" customFormat="false" ht="31.5" hidden="false" customHeight="true" outlineLevel="0" collapsed="false">
      <c r="A15" s="20" t="s">
        <v>31</v>
      </c>
      <c r="B15" s="20" t="s">
        <v>32</v>
      </c>
      <c r="C15" s="20" t="s">
        <v>33</v>
      </c>
      <c r="D15" s="20" t="s">
        <v>34</v>
      </c>
      <c r="E15" s="20" t="s">
        <v>35</v>
      </c>
      <c r="F15" s="20" t="s">
        <v>36</v>
      </c>
      <c r="G15" s="20" t="s">
        <v>37</v>
      </c>
      <c r="H15" s="20" t="s">
        <v>38</v>
      </c>
      <c r="I15" s="20" t="s">
        <v>39</v>
      </c>
      <c r="J15" s="20" t="s">
        <v>2</v>
      </c>
      <c r="K15" s="20" t="s">
        <v>40</v>
      </c>
      <c r="L15" s="20" t="s">
        <v>41</v>
      </c>
      <c r="M15" s="20" t="s">
        <v>42</v>
      </c>
      <c r="N15" s="20" t="s">
        <v>43</v>
      </c>
      <c r="O15" s="20" t="s">
        <v>44</v>
      </c>
      <c r="P15" s="20" t="s">
        <v>45</v>
      </c>
    </row>
    <row r="16" customFormat="false" ht="14.25" hidden="true" customHeight="true" outlineLevel="0" collapsed="false">
      <c r="A16" s="6" t="s">
        <v>46</v>
      </c>
      <c r="B16" s="6" t="s">
        <v>47</v>
      </c>
      <c r="C16" s="6" t="s">
        <v>48</v>
      </c>
      <c r="D16" s="6" t="s">
        <v>49</v>
      </c>
      <c r="E16" s="6" t="s">
        <v>50</v>
      </c>
      <c r="F16" s="6" t="s">
        <v>51</v>
      </c>
      <c r="G16" s="6" t="s">
        <v>52</v>
      </c>
      <c r="H16" s="6" t="s">
        <v>53</v>
      </c>
      <c r="I16" s="6" t="s">
        <v>54</v>
      </c>
      <c r="J16" s="7" t="s">
        <v>9</v>
      </c>
      <c r="K16" s="7" t="s">
        <v>55</v>
      </c>
      <c r="L16" s="6" t="s">
        <v>55</v>
      </c>
      <c r="M16" s="6" t="s">
        <v>56</v>
      </c>
      <c r="N16" s="6" t="s">
        <v>57</v>
      </c>
      <c r="O16" s="6" t="s">
        <v>58</v>
      </c>
      <c r="P16" s="6" t="s">
        <v>59</v>
      </c>
    </row>
    <row r="17" customFormat="false" ht="14.25" hidden="true" customHeight="true" outlineLevel="0" collapsed="false">
      <c r="A17" s="6" t="s">
        <v>60</v>
      </c>
      <c r="B17" s="6" t="s">
        <v>47</v>
      </c>
      <c r="C17" s="6" t="s">
        <v>48</v>
      </c>
      <c r="D17" s="6" t="s">
        <v>49</v>
      </c>
      <c r="E17" s="6" t="s">
        <v>61</v>
      </c>
      <c r="F17" s="6" t="s">
        <v>62</v>
      </c>
      <c r="G17" s="6" t="s">
        <v>63</v>
      </c>
      <c r="H17" s="6" t="s">
        <v>64</v>
      </c>
      <c r="I17" s="6" t="s">
        <v>54</v>
      </c>
      <c r="J17" s="7" t="s">
        <v>9</v>
      </c>
      <c r="K17" s="7" t="s">
        <v>55</v>
      </c>
      <c r="L17" s="6" t="s">
        <v>55</v>
      </c>
      <c r="M17" s="6" t="s">
        <v>65</v>
      </c>
      <c r="N17" s="6" t="s">
        <v>66</v>
      </c>
      <c r="O17" s="6" t="s">
        <v>67</v>
      </c>
      <c r="P17" s="6" t="s">
        <v>68</v>
      </c>
    </row>
    <row r="18" customFormat="false" ht="14.25" hidden="true" customHeight="true" outlineLevel="0" collapsed="false">
      <c r="A18" s="6" t="s">
        <v>69</v>
      </c>
      <c r="B18" s="6" t="s">
        <v>47</v>
      </c>
      <c r="C18" s="6" t="s">
        <v>48</v>
      </c>
      <c r="D18" s="6" t="s">
        <v>49</v>
      </c>
      <c r="E18" s="6" t="s">
        <v>70</v>
      </c>
      <c r="F18" s="6" t="s">
        <v>71</v>
      </c>
      <c r="G18" s="6" t="s">
        <v>72</v>
      </c>
      <c r="H18" s="6" t="s">
        <v>73</v>
      </c>
      <c r="I18" s="6" t="s">
        <v>54</v>
      </c>
      <c r="J18" s="7" t="s">
        <v>9</v>
      </c>
      <c r="K18" s="7" t="s">
        <v>55</v>
      </c>
      <c r="L18" s="6" t="s">
        <v>55</v>
      </c>
      <c r="M18" s="6" t="s">
        <v>74</v>
      </c>
      <c r="N18" s="6" t="s">
        <v>75</v>
      </c>
      <c r="O18" s="6" t="s">
        <v>76</v>
      </c>
      <c r="P18" s="6" t="s">
        <v>77</v>
      </c>
    </row>
    <row r="19" customFormat="false" ht="14.25" hidden="true" customHeight="true" outlineLevel="0" collapsed="false">
      <c r="A19" s="6" t="s">
        <v>78</v>
      </c>
      <c r="B19" s="6" t="s">
        <v>47</v>
      </c>
      <c r="C19" s="6" t="s">
        <v>48</v>
      </c>
      <c r="D19" s="6" t="s">
        <v>49</v>
      </c>
      <c r="E19" s="6" t="s">
        <v>79</v>
      </c>
      <c r="F19" s="6" t="s">
        <v>80</v>
      </c>
      <c r="G19" s="6" t="s">
        <v>81</v>
      </c>
      <c r="H19" s="6" t="s">
        <v>82</v>
      </c>
      <c r="I19" s="6" t="s">
        <v>83</v>
      </c>
      <c r="J19" s="7" t="s">
        <v>18</v>
      </c>
      <c r="K19" s="7" t="s">
        <v>55</v>
      </c>
      <c r="L19" s="6" t="s">
        <v>55</v>
      </c>
      <c r="M19" s="6" t="s">
        <v>84</v>
      </c>
      <c r="N19" s="6" t="s">
        <v>85</v>
      </c>
      <c r="O19" s="6" t="s">
        <v>86</v>
      </c>
      <c r="P19" s="6" t="s">
        <v>87</v>
      </c>
    </row>
    <row r="20" customFormat="false" ht="14.25" hidden="false" customHeight="true" outlineLevel="0" collapsed="false">
      <c r="A20" s="6" t="s">
        <v>88</v>
      </c>
      <c r="B20" s="6" t="s">
        <v>47</v>
      </c>
      <c r="C20" s="6" t="s">
        <v>48</v>
      </c>
      <c r="D20" s="6" t="s">
        <v>49</v>
      </c>
      <c r="E20" s="6" t="s">
        <v>89</v>
      </c>
      <c r="F20" s="6" t="s">
        <v>55</v>
      </c>
      <c r="G20" s="6" t="s">
        <v>55</v>
      </c>
      <c r="H20" s="6" t="s">
        <v>55</v>
      </c>
      <c r="I20" s="6" t="s">
        <v>55</v>
      </c>
      <c r="J20" s="7" t="s">
        <v>12</v>
      </c>
      <c r="K20" s="7" t="s">
        <v>90</v>
      </c>
      <c r="L20" s="6" t="s">
        <v>91</v>
      </c>
      <c r="M20" s="6" t="s">
        <v>92</v>
      </c>
      <c r="N20" s="6" t="s">
        <v>93</v>
      </c>
      <c r="O20" s="6" t="s">
        <v>94</v>
      </c>
      <c r="P20" s="6" t="s">
        <v>95</v>
      </c>
    </row>
    <row r="21" customFormat="false" ht="14.25" hidden="false" customHeight="true" outlineLevel="0" collapsed="false">
      <c r="A21" s="6" t="s">
        <v>96</v>
      </c>
      <c r="B21" s="6" t="s">
        <v>47</v>
      </c>
      <c r="C21" s="6" t="s">
        <v>48</v>
      </c>
      <c r="D21" s="6" t="s">
        <v>49</v>
      </c>
      <c r="E21" s="6" t="s">
        <v>97</v>
      </c>
      <c r="F21" s="6" t="s">
        <v>55</v>
      </c>
      <c r="G21" s="6" t="s">
        <v>55</v>
      </c>
      <c r="H21" s="6" t="s">
        <v>55</v>
      </c>
      <c r="I21" s="6" t="s">
        <v>55</v>
      </c>
      <c r="J21" s="7" t="s">
        <v>12</v>
      </c>
      <c r="K21" s="7" t="s">
        <v>90</v>
      </c>
      <c r="L21" s="6" t="s">
        <v>98</v>
      </c>
      <c r="M21" s="6" t="s">
        <v>99</v>
      </c>
      <c r="N21" s="6" t="s">
        <v>66</v>
      </c>
      <c r="O21" s="6" t="s">
        <v>100</v>
      </c>
      <c r="P21" s="6" t="s">
        <v>101</v>
      </c>
    </row>
    <row r="22" customFormat="false" ht="14.25" hidden="true" customHeight="true" outlineLevel="0" collapsed="false">
      <c r="A22" s="6" t="s">
        <v>102</v>
      </c>
      <c r="B22" s="6" t="s">
        <v>47</v>
      </c>
      <c r="C22" s="6" t="s">
        <v>48</v>
      </c>
      <c r="D22" s="6" t="s">
        <v>103</v>
      </c>
      <c r="E22" s="6" t="s">
        <v>104</v>
      </c>
      <c r="F22" s="6" t="s">
        <v>105</v>
      </c>
      <c r="G22" s="6" t="s">
        <v>106</v>
      </c>
      <c r="H22" s="6" t="s">
        <v>107</v>
      </c>
      <c r="I22" s="6" t="s">
        <v>54</v>
      </c>
      <c r="J22" s="7" t="s">
        <v>6</v>
      </c>
      <c r="K22" s="7" t="s">
        <v>55</v>
      </c>
      <c r="L22" s="6" t="s">
        <v>55</v>
      </c>
      <c r="M22" s="6" t="s">
        <v>108</v>
      </c>
      <c r="N22" s="6" t="s">
        <v>109</v>
      </c>
      <c r="O22" s="6" t="s">
        <v>110</v>
      </c>
      <c r="P22" s="6" t="s">
        <v>111</v>
      </c>
    </row>
    <row r="23" customFormat="false" ht="14.25" hidden="true" customHeight="true" outlineLevel="0" collapsed="false">
      <c r="A23" s="6" t="s">
        <v>112</v>
      </c>
      <c r="B23" s="6" t="s">
        <v>47</v>
      </c>
      <c r="C23" s="6" t="s">
        <v>48</v>
      </c>
      <c r="D23" s="6" t="s">
        <v>103</v>
      </c>
      <c r="E23" s="6" t="s">
        <v>113</v>
      </c>
      <c r="F23" s="6" t="s">
        <v>114</v>
      </c>
      <c r="G23" s="6" t="s">
        <v>115</v>
      </c>
      <c r="H23" s="6" t="s">
        <v>116</v>
      </c>
      <c r="I23" s="6" t="s">
        <v>54</v>
      </c>
      <c r="J23" s="7" t="s">
        <v>9</v>
      </c>
      <c r="K23" s="7" t="s">
        <v>55</v>
      </c>
      <c r="L23" s="6" t="s">
        <v>55</v>
      </c>
      <c r="M23" s="6" t="s">
        <v>117</v>
      </c>
      <c r="N23" s="6" t="s">
        <v>118</v>
      </c>
      <c r="O23" s="6" t="s">
        <v>119</v>
      </c>
      <c r="P23" s="6" t="s">
        <v>120</v>
      </c>
    </row>
    <row r="24" customFormat="false" ht="14.25" hidden="true" customHeight="true" outlineLevel="0" collapsed="false">
      <c r="A24" s="6" t="s">
        <v>121</v>
      </c>
      <c r="B24" s="6" t="s">
        <v>47</v>
      </c>
      <c r="C24" s="6" t="s">
        <v>48</v>
      </c>
      <c r="D24" s="6" t="s">
        <v>103</v>
      </c>
      <c r="E24" s="6" t="s">
        <v>122</v>
      </c>
      <c r="F24" s="6" t="s">
        <v>123</v>
      </c>
      <c r="G24" s="6" t="s">
        <v>124</v>
      </c>
      <c r="H24" s="6" t="s">
        <v>125</v>
      </c>
      <c r="I24" s="6" t="s">
        <v>54</v>
      </c>
      <c r="J24" s="7" t="s">
        <v>6</v>
      </c>
      <c r="K24" s="7" t="s">
        <v>55</v>
      </c>
      <c r="L24" s="6" t="s">
        <v>55</v>
      </c>
      <c r="M24" s="6" t="s">
        <v>126</v>
      </c>
      <c r="N24" s="6" t="s">
        <v>127</v>
      </c>
      <c r="O24" s="6" t="s">
        <v>128</v>
      </c>
      <c r="P24" s="6" t="s">
        <v>111</v>
      </c>
    </row>
    <row r="25" customFormat="false" ht="14.25" hidden="true" customHeight="true" outlineLevel="0" collapsed="false">
      <c r="A25" s="6" t="s">
        <v>129</v>
      </c>
      <c r="B25" s="6" t="s">
        <v>47</v>
      </c>
      <c r="C25" s="6" t="s">
        <v>48</v>
      </c>
      <c r="D25" s="6" t="s">
        <v>103</v>
      </c>
      <c r="E25" s="6" t="s">
        <v>130</v>
      </c>
      <c r="F25" s="6" t="s">
        <v>131</v>
      </c>
      <c r="G25" s="6" t="s">
        <v>132</v>
      </c>
      <c r="H25" s="6" t="s">
        <v>133</v>
      </c>
      <c r="I25" s="6" t="s">
        <v>83</v>
      </c>
      <c r="J25" s="7" t="s">
        <v>9</v>
      </c>
      <c r="K25" s="7" t="s">
        <v>55</v>
      </c>
      <c r="L25" s="6" t="s">
        <v>55</v>
      </c>
      <c r="M25" s="6" t="s">
        <v>134</v>
      </c>
      <c r="N25" s="6" t="s">
        <v>135</v>
      </c>
      <c r="O25" s="6" t="s">
        <v>136</v>
      </c>
      <c r="P25" s="6" t="s">
        <v>137</v>
      </c>
    </row>
    <row r="26" customFormat="false" ht="14.25" hidden="true" customHeight="true" outlineLevel="0" collapsed="false">
      <c r="A26" s="6" t="s">
        <v>138</v>
      </c>
      <c r="B26" s="6" t="s">
        <v>47</v>
      </c>
      <c r="C26" s="6" t="s">
        <v>48</v>
      </c>
      <c r="D26" s="6" t="s">
        <v>103</v>
      </c>
      <c r="E26" s="6" t="s">
        <v>139</v>
      </c>
      <c r="F26" s="6" t="s">
        <v>140</v>
      </c>
      <c r="G26" s="6" t="s">
        <v>141</v>
      </c>
      <c r="H26" s="6" t="s">
        <v>142</v>
      </c>
      <c r="I26" s="6" t="s">
        <v>54</v>
      </c>
      <c r="J26" s="7" t="s">
        <v>9</v>
      </c>
      <c r="K26" s="7" t="s">
        <v>55</v>
      </c>
      <c r="L26" s="6" t="s">
        <v>55</v>
      </c>
      <c r="M26" s="6" t="s">
        <v>143</v>
      </c>
      <c r="N26" s="6" t="s">
        <v>144</v>
      </c>
      <c r="O26" s="6" t="s">
        <v>145</v>
      </c>
      <c r="P26" s="6" t="s">
        <v>146</v>
      </c>
    </row>
    <row r="27" customFormat="false" ht="14.25" hidden="true" customHeight="true" outlineLevel="0" collapsed="false">
      <c r="A27" s="6" t="s">
        <v>147</v>
      </c>
      <c r="B27" s="6" t="s">
        <v>47</v>
      </c>
      <c r="C27" s="6" t="s">
        <v>48</v>
      </c>
      <c r="D27" s="6" t="s">
        <v>103</v>
      </c>
      <c r="E27" s="6" t="s">
        <v>148</v>
      </c>
      <c r="F27" s="6" t="s">
        <v>149</v>
      </c>
      <c r="G27" s="6" t="s">
        <v>150</v>
      </c>
      <c r="H27" s="6" t="s">
        <v>151</v>
      </c>
      <c r="I27" s="6" t="s">
        <v>83</v>
      </c>
      <c r="J27" s="7" t="s">
        <v>9</v>
      </c>
      <c r="K27" s="7" t="s">
        <v>55</v>
      </c>
      <c r="L27" s="6" t="s">
        <v>55</v>
      </c>
      <c r="M27" s="6" t="s">
        <v>152</v>
      </c>
      <c r="N27" s="6" t="s">
        <v>153</v>
      </c>
      <c r="O27" s="6" t="s">
        <v>154</v>
      </c>
      <c r="P27" s="6" t="s">
        <v>155</v>
      </c>
    </row>
    <row r="28" customFormat="false" ht="14.25" hidden="true" customHeight="true" outlineLevel="0" collapsed="false">
      <c r="A28" s="6" t="s">
        <v>156</v>
      </c>
      <c r="B28" s="6" t="s">
        <v>47</v>
      </c>
      <c r="C28" s="6" t="s">
        <v>48</v>
      </c>
      <c r="D28" s="6" t="s">
        <v>103</v>
      </c>
      <c r="E28" s="6" t="s">
        <v>157</v>
      </c>
      <c r="F28" s="6" t="s">
        <v>158</v>
      </c>
      <c r="G28" s="6" t="s">
        <v>159</v>
      </c>
      <c r="H28" s="6" t="s">
        <v>160</v>
      </c>
      <c r="I28" s="6" t="s">
        <v>54</v>
      </c>
      <c r="J28" s="7" t="s">
        <v>9</v>
      </c>
      <c r="K28" s="7" t="s">
        <v>55</v>
      </c>
      <c r="L28" s="6" t="s">
        <v>55</v>
      </c>
      <c r="M28" s="6" t="s">
        <v>161</v>
      </c>
      <c r="N28" s="6" t="s">
        <v>135</v>
      </c>
      <c r="O28" s="6" t="s">
        <v>162</v>
      </c>
      <c r="P28" s="6" t="s">
        <v>163</v>
      </c>
    </row>
    <row r="29" customFormat="false" ht="14.25" hidden="true" customHeight="true" outlineLevel="0" collapsed="false">
      <c r="A29" s="6" t="s">
        <v>164</v>
      </c>
      <c r="B29" s="6" t="s">
        <v>47</v>
      </c>
      <c r="C29" s="6" t="s">
        <v>48</v>
      </c>
      <c r="D29" s="6" t="s">
        <v>165</v>
      </c>
      <c r="E29" s="6" t="s">
        <v>166</v>
      </c>
      <c r="F29" s="6" t="s">
        <v>167</v>
      </c>
      <c r="G29" s="6" t="s">
        <v>168</v>
      </c>
      <c r="H29" s="6" t="s">
        <v>169</v>
      </c>
      <c r="I29" s="6" t="s">
        <v>54</v>
      </c>
      <c r="J29" s="7" t="s">
        <v>9</v>
      </c>
      <c r="K29" s="7" t="s">
        <v>55</v>
      </c>
      <c r="L29" s="6" t="s">
        <v>55</v>
      </c>
      <c r="M29" s="6" t="s">
        <v>170</v>
      </c>
      <c r="N29" s="6" t="s">
        <v>171</v>
      </c>
      <c r="O29" s="6" t="s">
        <v>172</v>
      </c>
      <c r="P29" s="6" t="s">
        <v>173</v>
      </c>
    </row>
    <row r="30" customFormat="false" ht="14.25" hidden="true" customHeight="true" outlineLevel="0" collapsed="false">
      <c r="A30" s="6" t="s">
        <v>174</v>
      </c>
      <c r="B30" s="6" t="s">
        <v>47</v>
      </c>
      <c r="C30" s="6" t="s">
        <v>48</v>
      </c>
      <c r="D30" s="6" t="s">
        <v>165</v>
      </c>
      <c r="E30" s="6" t="s">
        <v>175</v>
      </c>
      <c r="F30" s="6" t="s">
        <v>176</v>
      </c>
      <c r="G30" s="6" t="s">
        <v>177</v>
      </c>
      <c r="H30" s="6" t="s">
        <v>178</v>
      </c>
      <c r="I30" s="6" t="s">
        <v>54</v>
      </c>
      <c r="J30" s="7" t="s">
        <v>9</v>
      </c>
      <c r="K30" s="7" t="s">
        <v>55</v>
      </c>
      <c r="L30" s="6" t="s">
        <v>55</v>
      </c>
      <c r="M30" s="6" t="s">
        <v>179</v>
      </c>
      <c r="N30" s="6" t="s">
        <v>180</v>
      </c>
      <c r="O30" s="6" t="s">
        <v>181</v>
      </c>
      <c r="P30" s="6" t="s">
        <v>182</v>
      </c>
    </row>
    <row r="31" customFormat="false" ht="14.25" hidden="false" customHeight="true" outlineLevel="0" collapsed="false">
      <c r="A31" s="6" t="s">
        <v>183</v>
      </c>
      <c r="B31" s="6" t="s">
        <v>47</v>
      </c>
      <c r="C31" s="6" t="s">
        <v>48</v>
      </c>
      <c r="D31" s="6" t="s">
        <v>165</v>
      </c>
      <c r="E31" s="6" t="s">
        <v>184</v>
      </c>
      <c r="F31" s="6" t="s">
        <v>185</v>
      </c>
      <c r="G31" s="6" t="s">
        <v>186</v>
      </c>
      <c r="H31" s="6" t="s">
        <v>187</v>
      </c>
      <c r="I31" s="6" t="s">
        <v>54</v>
      </c>
      <c r="J31" s="7" t="s">
        <v>12</v>
      </c>
      <c r="K31" s="7" t="s">
        <v>188</v>
      </c>
      <c r="L31" s="6" t="s">
        <v>189</v>
      </c>
      <c r="M31" s="6" t="s">
        <v>190</v>
      </c>
      <c r="N31" s="6" t="s">
        <v>191</v>
      </c>
      <c r="O31" s="6" t="s">
        <v>192</v>
      </c>
      <c r="P31" s="6" t="s">
        <v>193</v>
      </c>
    </row>
    <row r="32" customFormat="false" ht="14.25" hidden="true" customHeight="true" outlineLevel="0" collapsed="false">
      <c r="A32" s="6" t="s">
        <v>194</v>
      </c>
      <c r="B32" s="6" t="s">
        <v>47</v>
      </c>
      <c r="C32" s="6" t="s">
        <v>48</v>
      </c>
      <c r="D32" s="6" t="s">
        <v>165</v>
      </c>
      <c r="E32" s="6" t="s">
        <v>195</v>
      </c>
      <c r="F32" s="6" t="s">
        <v>196</v>
      </c>
      <c r="G32" s="6" t="s">
        <v>197</v>
      </c>
      <c r="H32" s="6" t="s">
        <v>198</v>
      </c>
      <c r="I32" s="6" t="s">
        <v>83</v>
      </c>
      <c r="J32" s="7" t="s">
        <v>6</v>
      </c>
      <c r="K32" s="7" t="s">
        <v>55</v>
      </c>
      <c r="L32" s="6" t="s">
        <v>55</v>
      </c>
      <c r="M32" s="6" t="s">
        <v>199</v>
      </c>
      <c r="N32" s="6" t="s">
        <v>200</v>
      </c>
      <c r="O32" s="6" t="s">
        <v>201</v>
      </c>
      <c r="P32" s="6" t="s">
        <v>111</v>
      </c>
    </row>
    <row r="33" customFormat="false" ht="14.25" hidden="true" customHeight="true" outlineLevel="0" collapsed="false">
      <c r="A33" s="6" t="s">
        <v>202</v>
      </c>
      <c r="B33" s="6" t="s">
        <v>47</v>
      </c>
      <c r="C33" s="6" t="s">
        <v>48</v>
      </c>
      <c r="D33" s="6" t="s">
        <v>165</v>
      </c>
      <c r="E33" s="6" t="s">
        <v>203</v>
      </c>
      <c r="F33" s="6" t="s">
        <v>204</v>
      </c>
      <c r="G33" s="6" t="s">
        <v>205</v>
      </c>
      <c r="H33" s="6" t="s">
        <v>206</v>
      </c>
      <c r="I33" s="6" t="s">
        <v>83</v>
      </c>
      <c r="J33" s="7" t="s">
        <v>9</v>
      </c>
      <c r="K33" s="7" t="s">
        <v>55</v>
      </c>
      <c r="L33" s="6" t="s">
        <v>55</v>
      </c>
      <c r="M33" s="6" t="s">
        <v>207</v>
      </c>
      <c r="N33" s="6" t="s">
        <v>208</v>
      </c>
      <c r="O33" s="6" t="s">
        <v>209</v>
      </c>
      <c r="P33" s="6" t="s">
        <v>210</v>
      </c>
    </row>
    <row r="34" customFormat="false" ht="14.25" hidden="true" customHeight="true" outlineLevel="0" collapsed="false">
      <c r="A34" s="6" t="s">
        <v>211</v>
      </c>
      <c r="B34" s="6" t="s">
        <v>47</v>
      </c>
      <c r="C34" s="6" t="s">
        <v>48</v>
      </c>
      <c r="D34" s="6" t="s">
        <v>165</v>
      </c>
      <c r="E34" s="6" t="s">
        <v>212</v>
      </c>
      <c r="F34" s="6" t="s">
        <v>213</v>
      </c>
      <c r="G34" s="6" t="s">
        <v>214</v>
      </c>
      <c r="H34" s="6" t="s">
        <v>215</v>
      </c>
      <c r="I34" s="6" t="s">
        <v>216</v>
      </c>
      <c r="J34" s="7" t="s">
        <v>15</v>
      </c>
      <c r="K34" s="7" t="s">
        <v>90</v>
      </c>
      <c r="L34" s="6" t="s">
        <v>217</v>
      </c>
      <c r="M34" s="6" t="s">
        <v>218</v>
      </c>
      <c r="N34" s="6" t="s">
        <v>219</v>
      </c>
      <c r="O34" s="6" t="s">
        <v>220</v>
      </c>
      <c r="P34" s="6" t="s">
        <v>221</v>
      </c>
    </row>
    <row r="35" customFormat="false" ht="14.25" hidden="false" customHeight="true" outlineLevel="0" collapsed="false">
      <c r="A35" s="6" t="s">
        <v>222</v>
      </c>
      <c r="B35" s="6" t="s">
        <v>47</v>
      </c>
      <c r="C35" s="6" t="s">
        <v>48</v>
      </c>
      <c r="D35" s="6" t="s">
        <v>165</v>
      </c>
      <c r="E35" s="6" t="s">
        <v>223</v>
      </c>
      <c r="F35" s="6" t="s">
        <v>55</v>
      </c>
      <c r="G35" s="6" t="s">
        <v>55</v>
      </c>
      <c r="H35" s="6" t="s">
        <v>55</v>
      </c>
      <c r="I35" s="6" t="s">
        <v>55</v>
      </c>
      <c r="J35" s="7" t="s">
        <v>12</v>
      </c>
      <c r="K35" s="7" t="s">
        <v>188</v>
      </c>
      <c r="L35" s="6" t="s">
        <v>224</v>
      </c>
      <c r="M35" s="6" t="s">
        <v>225</v>
      </c>
      <c r="N35" s="6" t="s">
        <v>226</v>
      </c>
      <c r="O35" s="6" t="s">
        <v>227</v>
      </c>
      <c r="P35" s="6" t="s">
        <v>228</v>
      </c>
    </row>
    <row r="36" customFormat="false" ht="14.25" hidden="true" customHeight="true" outlineLevel="0" collapsed="false">
      <c r="A36" s="6" t="s">
        <v>229</v>
      </c>
      <c r="B36" s="6" t="s">
        <v>47</v>
      </c>
      <c r="C36" s="6" t="s">
        <v>48</v>
      </c>
      <c r="D36" s="6" t="s">
        <v>165</v>
      </c>
      <c r="E36" s="6" t="s">
        <v>230</v>
      </c>
      <c r="F36" s="6" t="s">
        <v>231</v>
      </c>
      <c r="G36" s="6" t="s">
        <v>232</v>
      </c>
      <c r="H36" s="6" t="s">
        <v>233</v>
      </c>
      <c r="I36" s="6" t="s">
        <v>54</v>
      </c>
      <c r="J36" s="7" t="s">
        <v>15</v>
      </c>
      <c r="K36" s="7" t="s">
        <v>90</v>
      </c>
      <c r="L36" s="6" t="s">
        <v>234</v>
      </c>
      <c r="M36" s="6" t="s">
        <v>235</v>
      </c>
      <c r="N36" s="6" t="s">
        <v>236</v>
      </c>
      <c r="O36" s="6" t="s">
        <v>237</v>
      </c>
      <c r="P36" s="6" t="s">
        <v>238</v>
      </c>
    </row>
    <row r="37" customFormat="false" ht="14.25" hidden="true" customHeight="true" outlineLevel="0" collapsed="false">
      <c r="A37" s="6" t="s">
        <v>239</v>
      </c>
      <c r="B37" s="6" t="s">
        <v>47</v>
      </c>
      <c r="C37" s="6" t="s">
        <v>48</v>
      </c>
      <c r="D37" s="6" t="s">
        <v>165</v>
      </c>
      <c r="E37" s="6" t="s">
        <v>240</v>
      </c>
      <c r="F37" s="6" t="s">
        <v>241</v>
      </c>
      <c r="G37" s="6" t="s">
        <v>242</v>
      </c>
      <c r="H37" s="6" t="s">
        <v>243</v>
      </c>
      <c r="I37" s="6" t="s">
        <v>54</v>
      </c>
      <c r="J37" s="7" t="s">
        <v>9</v>
      </c>
      <c r="K37" s="7" t="s">
        <v>55</v>
      </c>
      <c r="L37" s="6" t="s">
        <v>55</v>
      </c>
      <c r="M37" s="6" t="s">
        <v>244</v>
      </c>
      <c r="N37" s="6" t="s">
        <v>245</v>
      </c>
      <c r="O37" s="6" t="s">
        <v>246</v>
      </c>
      <c r="P37" s="6" t="s">
        <v>247</v>
      </c>
    </row>
    <row r="38" customFormat="false" ht="14.25" hidden="true" customHeight="true" outlineLevel="0" collapsed="false">
      <c r="A38" s="6" t="s">
        <v>248</v>
      </c>
      <c r="B38" s="6" t="s">
        <v>47</v>
      </c>
      <c r="C38" s="6" t="s">
        <v>48</v>
      </c>
      <c r="D38" s="6" t="s">
        <v>165</v>
      </c>
      <c r="E38" s="6" t="s">
        <v>249</v>
      </c>
      <c r="F38" s="6" t="s">
        <v>250</v>
      </c>
      <c r="G38" s="6" t="s">
        <v>251</v>
      </c>
      <c r="H38" s="6" t="s">
        <v>252</v>
      </c>
      <c r="I38" s="6" t="s">
        <v>54</v>
      </c>
      <c r="J38" s="7" t="s">
        <v>6</v>
      </c>
      <c r="K38" s="7" t="s">
        <v>55</v>
      </c>
      <c r="L38" s="6" t="s">
        <v>55</v>
      </c>
      <c r="M38" s="6" t="s">
        <v>253</v>
      </c>
      <c r="N38" s="6" t="s">
        <v>254</v>
      </c>
      <c r="O38" s="6" t="s">
        <v>128</v>
      </c>
      <c r="P38" s="6" t="s">
        <v>111</v>
      </c>
    </row>
    <row r="39" customFormat="false" ht="14.25" hidden="true" customHeight="true" outlineLevel="0" collapsed="false">
      <c r="A39" s="6" t="s">
        <v>255</v>
      </c>
      <c r="B39" s="6" t="s">
        <v>47</v>
      </c>
      <c r="C39" s="6" t="s">
        <v>48</v>
      </c>
      <c r="D39" s="6" t="s">
        <v>165</v>
      </c>
      <c r="E39" s="6" t="s">
        <v>256</v>
      </c>
      <c r="F39" s="6" t="s">
        <v>257</v>
      </c>
      <c r="G39" s="6" t="s">
        <v>258</v>
      </c>
      <c r="H39" s="6" t="s">
        <v>259</v>
      </c>
      <c r="I39" s="6" t="s">
        <v>216</v>
      </c>
      <c r="J39" s="7" t="s">
        <v>9</v>
      </c>
      <c r="K39" s="7" t="s">
        <v>55</v>
      </c>
      <c r="L39" s="6" t="s">
        <v>55</v>
      </c>
      <c r="M39" s="6" t="s">
        <v>260</v>
      </c>
      <c r="N39" s="6" t="s">
        <v>261</v>
      </c>
      <c r="O39" s="6" t="s">
        <v>262</v>
      </c>
      <c r="P39" s="6" t="s">
        <v>263</v>
      </c>
    </row>
    <row r="40" customFormat="false" ht="14.25" hidden="false" customHeight="true" outlineLevel="0" collapsed="false">
      <c r="A40" s="6" t="s">
        <v>264</v>
      </c>
      <c r="B40" s="6" t="s">
        <v>47</v>
      </c>
      <c r="C40" s="6" t="s">
        <v>48</v>
      </c>
      <c r="D40" s="6" t="s">
        <v>165</v>
      </c>
      <c r="E40" s="6" t="s">
        <v>265</v>
      </c>
      <c r="F40" s="6" t="s">
        <v>55</v>
      </c>
      <c r="G40" s="6" t="s">
        <v>55</v>
      </c>
      <c r="H40" s="6" t="s">
        <v>55</v>
      </c>
      <c r="I40" s="6" t="s">
        <v>55</v>
      </c>
      <c r="J40" s="7" t="s">
        <v>12</v>
      </c>
      <c r="K40" s="7" t="s">
        <v>188</v>
      </c>
      <c r="L40" s="6" t="s">
        <v>266</v>
      </c>
      <c r="M40" s="6" t="s">
        <v>267</v>
      </c>
      <c r="N40" s="6" t="s">
        <v>268</v>
      </c>
      <c r="O40" s="6" t="s">
        <v>269</v>
      </c>
      <c r="P40" s="6" t="s">
        <v>270</v>
      </c>
    </row>
    <row r="41" customFormat="false" ht="14.25" hidden="true" customHeight="true" outlineLevel="0" collapsed="false">
      <c r="A41" s="6" t="s">
        <v>271</v>
      </c>
      <c r="B41" s="6" t="s">
        <v>47</v>
      </c>
      <c r="C41" s="6" t="s">
        <v>48</v>
      </c>
      <c r="D41" s="6" t="s">
        <v>272</v>
      </c>
      <c r="E41" s="6" t="s">
        <v>273</v>
      </c>
      <c r="F41" s="6" t="s">
        <v>274</v>
      </c>
      <c r="G41" s="6" t="s">
        <v>275</v>
      </c>
      <c r="H41" s="6" t="s">
        <v>276</v>
      </c>
      <c r="I41" s="6" t="s">
        <v>216</v>
      </c>
      <c r="J41" s="7" t="s">
        <v>9</v>
      </c>
      <c r="K41" s="7" t="s">
        <v>55</v>
      </c>
      <c r="L41" s="6" t="s">
        <v>55</v>
      </c>
      <c r="M41" s="6" t="s">
        <v>277</v>
      </c>
      <c r="N41" s="6" t="s">
        <v>278</v>
      </c>
      <c r="O41" s="6" t="s">
        <v>279</v>
      </c>
      <c r="P41" s="6" t="s">
        <v>280</v>
      </c>
    </row>
    <row r="42" customFormat="false" ht="14.25" hidden="true" customHeight="true" outlineLevel="0" collapsed="false">
      <c r="A42" s="6" t="s">
        <v>281</v>
      </c>
      <c r="B42" s="6" t="s">
        <v>47</v>
      </c>
      <c r="C42" s="6" t="s">
        <v>48</v>
      </c>
      <c r="D42" s="6" t="s">
        <v>272</v>
      </c>
      <c r="E42" s="6" t="s">
        <v>282</v>
      </c>
      <c r="F42" s="6" t="s">
        <v>283</v>
      </c>
      <c r="G42" s="6" t="s">
        <v>284</v>
      </c>
      <c r="H42" s="6" t="s">
        <v>285</v>
      </c>
      <c r="I42" s="6" t="s">
        <v>83</v>
      </c>
      <c r="J42" s="7" t="s">
        <v>9</v>
      </c>
      <c r="K42" s="7" t="s">
        <v>55</v>
      </c>
      <c r="L42" s="6" t="s">
        <v>55</v>
      </c>
      <c r="M42" s="6" t="s">
        <v>286</v>
      </c>
      <c r="N42" s="6" t="s">
        <v>287</v>
      </c>
      <c r="O42" s="6" t="s">
        <v>288</v>
      </c>
      <c r="P42" s="6" t="s">
        <v>289</v>
      </c>
    </row>
    <row r="43" customFormat="false" ht="14.25" hidden="true" customHeight="true" outlineLevel="0" collapsed="false">
      <c r="A43" s="6" t="s">
        <v>290</v>
      </c>
      <c r="B43" s="6" t="s">
        <v>47</v>
      </c>
      <c r="C43" s="6" t="s">
        <v>48</v>
      </c>
      <c r="D43" s="6" t="s">
        <v>272</v>
      </c>
      <c r="E43" s="6" t="s">
        <v>291</v>
      </c>
      <c r="F43" s="6" t="s">
        <v>292</v>
      </c>
      <c r="G43" s="6" t="s">
        <v>293</v>
      </c>
      <c r="H43" s="6" t="s">
        <v>294</v>
      </c>
      <c r="I43" s="6" t="s">
        <v>54</v>
      </c>
      <c r="J43" s="7" t="s">
        <v>6</v>
      </c>
      <c r="K43" s="7" t="s">
        <v>55</v>
      </c>
      <c r="L43" s="6" t="s">
        <v>55</v>
      </c>
      <c r="M43" s="6" t="s">
        <v>295</v>
      </c>
      <c r="N43" s="6" t="s">
        <v>296</v>
      </c>
      <c r="O43" s="6" t="s">
        <v>297</v>
      </c>
      <c r="P43" s="6" t="s">
        <v>111</v>
      </c>
    </row>
    <row r="44" customFormat="false" ht="14.25" hidden="true" customHeight="true" outlineLevel="0" collapsed="false">
      <c r="A44" s="6" t="s">
        <v>298</v>
      </c>
      <c r="B44" s="6" t="s">
        <v>47</v>
      </c>
      <c r="C44" s="6" t="s">
        <v>48</v>
      </c>
      <c r="D44" s="6" t="s">
        <v>272</v>
      </c>
      <c r="E44" s="6" t="s">
        <v>299</v>
      </c>
      <c r="F44" s="6" t="s">
        <v>292</v>
      </c>
      <c r="G44" s="6" t="s">
        <v>293</v>
      </c>
      <c r="H44" s="6" t="s">
        <v>294</v>
      </c>
      <c r="I44" s="6" t="s">
        <v>54</v>
      </c>
      <c r="J44" s="7" t="s">
        <v>9</v>
      </c>
      <c r="K44" s="7" t="s">
        <v>55</v>
      </c>
      <c r="L44" s="6" t="s">
        <v>55</v>
      </c>
      <c r="M44" s="6" t="s">
        <v>300</v>
      </c>
      <c r="N44" s="6" t="s">
        <v>135</v>
      </c>
      <c r="O44" s="6" t="s">
        <v>301</v>
      </c>
      <c r="P44" s="6" t="s">
        <v>302</v>
      </c>
    </row>
    <row r="45" customFormat="false" ht="14.25" hidden="false" customHeight="true" outlineLevel="0" collapsed="false">
      <c r="A45" s="6" t="s">
        <v>303</v>
      </c>
      <c r="B45" s="6" t="s">
        <v>47</v>
      </c>
      <c r="C45" s="6" t="s">
        <v>48</v>
      </c>
      <c r="D45" s="6" t="s">
        <v>272</v>
      </c>
      <c r="E45" s="6" t="s">
        <v>304</v>
      </c>
      <c r="F45" s="6" t="s">
        <v>55</v>
      </c>
      <c r="G45" s="6" t="s">
        <v>55</v>
      </c>
      <c r="H45" s="6" t="s">
        <v>55</v>
      </c>
      <c r="I45" s="6" t="s">
        <v>55</v>
      </c>
      <c r="J45" s="7" t="s">
        <v>12</v>
      </c>
      <c r="K45" s="7" t="s">
        <v>305</v>
      </c>
      <c r="L45" s="6" t="s">
        <v>306</v>
      </c>
      <c r="M45" s="6" t="s">
        <v>307</v>
      </c>
      <c r="N45" s="6" t="s">
        <v>308</v>
      </c>
      <c r="O45" s="6" t="s">
        <v>309</v>
      </c>
      <c r="P45" s="6" t="s">
        <v>310</v>
      </c>
    </row>
    <row r="46" customFormat="false" ht="14.25" hidden="false" customHeight="true" outlineLevel="0" collapsed="false">
      <c r="A46" s="6" t="s">
        <v>311</v>
      </c>
      <c r="B46" s="6" t="s">
        <v>47</v>
      </c>
      <c r="C46" s="6" t="s">
        <v>48</v>
      </c>
      <c r="D46" s="6" t="s">
        <v>312</v>
      </c>
      <c r="E46" s="6" t="s">
        <v>313</v>
      </c>
      <c r="F46" s="6" t="s">
        <v>55</v>
      </c>
      <c r="G46" s="6" t="s">
        <v>55</v>
      </c>
      <c r="H46" s="6" t="s">
        <v>55</v>
      </c>
      <c r="I46" s="6" t="s">
        <v>55</v>
      </c>
      <c r="J46" s="7" t="s">
        <v>12</v>
      </c>
      <c r="K46" s="7" t="s">
        <v>188</v>
      </c>
      <c r="L46" s="6" t="s">
        <v>314</v>
      </c>
      <c r="M46" s="6" t="s">
        <v>315</v>
      </c>
      <c r="N46" s="6" t="s">
        <v>316</v>
      </c>
      <c r="O46" s="6" t="s">
        <v>317</v>
      </c>
      <c r="P46" s="6" t="s">
        <v>318</v>
      </c>
    </row>
    <row r="47" customFormat="false" ht="14.25" hidden="true" customHeight="true" outlineLevel="0" collapsed="false">
      <c r="A47" s="6" t="s">
        <v>319</v>
      </c>
      <c r="B47" s="6" t="s">
        <v>47</v>
      </c>
      <c r="C47" s="6" t="s">
        <v>48</v>
      </c>
      <c r="D47" s="6" t="s">
        <v>312</v>
      </c>
      <c r="E47" s="6" t="s">
        <v>320</v>
      </c>
      <c r="F47" s="6" t="s">
        <v>321</v>
      </c>
      <c r="G47" s="6" t="s">
        <v>322</v>
      </c>
      <c r="H47" s="6" t="s">
        <v>323</v>
      </c>
      <c r="I47" s="6" t="s">
        <v>54</v>
      </c>
      <c r="J47" s="7" t="s">
        <v>18</v>
      </c>
      <c r="K47" s="7" t="s">
        <v>55</v>
      </c>
      <c r="L47" s="6" t="s">
        <v>55</v>
      </c>
      <c r="M47" s="6" t="s">
        <v>324</v>
      </c>
      <c r="N47" s="6" t="s">
        <v>325</v>
      </c>
      <c r="O47" s="6" t="s">
        <v>326</v>
      </c>
      <c r="P47" s="6" t="s">
        <v>327</v>
      </c>
    </row>
    <row r="48" customFormat="false" ht="14.25" hidden="true" customHeight="true" outlineLevel="0" collapsed="false">
      <c r="A48" s="6" t="s">
        <v>328</v>
      </c>
      <c r="B48" s="6" t="s">
        <v>47</v>
      </c>
      <c r="C48" s="6" t="s">
        <v>48</v>
      </c>
      <c r="D48" s="6" t="s">
        <v>312</v>
      </c>
      <c r="E48" s="6" t="s">
        <v>329</v>
      </c>
      <c r="F48" s="6" t="s">
        <v>330</v>
      </c>
      <c r="G48" s="6" t="s">
        <v>331</v>
      </c>
      <c r="H48" s="6" t="s">
        <v>332</v>
      </c>
      <c r="I48" s="6" t="s">
        <v>54</v>
      </c>
      <c r="J48" s="7" t="s">
        <v>9</v>
      </c>
      <c r="K48" s="7" t="s">
        <v>55</v>
      </c>
      <c r="L48" s="6" t="s">
        <v>55</v>
      </c>
      <c r="M48" s="6" t="s">
        <v>333</v>
      </c>
      <c r="N48" s="6" t="s">
        <v>334</v>
      </c>
      <c r="O48" s="6" t="s">
        <v>335</v>
      </c>
      <c r="P48" s="6" t="s">
        <v>336</v>
      </c>
    </row>
    <row r="49" customFormat="false" ht="14.25" hidden="true" customHeight="true" outlineLevel="0" collapsed="false">
      <c r="A49" s="6" t="s">
        <v>337</v>
      </c>
      <c r="B49" s="6" t="s">
        <v>47</v>
      </c>
      <c r="C49" s="6" t="s">
        <v>48</v>
      </c>
      <c r="D49" s="6" t="s">
        <v>312</v>
      </c>
      <c r="E49" s="6" t="s">
        <v>338</v>
      </c>
      <c r="F49" s="6" t="s">
        <v>330</v>
      </c>
      <c r="G49" s="6" t="s">
        <v>331</v>
      </c>
      <c r="H49" s="6" t="s">
        <v>332</v>
      </c>
      <c r="I49" s="6" t="s">
        <v>54</v>
      </c>
      <c r="J49" s="7" t="s">
        <v>9</v>
      </c>
      <c r="K49" s="7" t="s">
        <v>55</v>
      </c>
      <c r="L49" s="6" t="s">
        <v>55</v>
      </c>
      <c r="M49" s="6" t="s">
        <v>339</v>
      </c>
      <c r="N49" s="6" t="s">
        <v>340</v>
      </c>
      <c r="O49" s="6" t="s">
        <v>341</v>
      </c>
      <c r="P49" s="6" t="s">
        <v>342</v>
      </c>
    </row>
    <row r="50" customFormat="false" ht="14.25" hidden="false" customHeight="true" outlineLevel="0" collapsed="false">
      <c r="A50" s="6" t="s">
        <v>343</v>
      </c>
      <c r="B50" s="6" t="s">
        <v>47</v>
      </c>
      <c r="C50" s="6" t="s">
        <v>48</v>
      </c>
      <c r="D50" s="6" t="s">
        <v>344</v>
      </c>
      <c r="E50" s="6" t="s">
        <v>345</v>
      </c>
      <c r="F50" s="6" t="s">
        <v>55</v>
      </c>
      <c r="G50" s="6" t="s">
        <v>55</v>
      </c>
      <c r="H50" s="6" t="s">
        <v>55</v>
      </c>
      <c r="I50" s="6" t="s">
        <v>55</v>
      </c>
      <c r="J50" s="7" t="s">
        <v>12</v>
      </c>
      <c r="K50" s="7" t="s">
        <v>305</v>
      </c>
      <c r="L50" s="6" t="s">
        <v>346</v>
      </c>
      <c r="M50" s="6" t="s">
        <v>347</v>
      </c>
      <c r="N50" s="6" t="s">
        <v>348</v>
      </c>
      <c r="O50" s="6" t="s">
        <v>227</v>
      </c>
      <c r="P50" s="6" t="s">
        <v>349</v>
      </c>
    </row>
    <row r="51" customFormat="false" ht="14.25" hidden="false" customHeight="true" outlineLevel="0" collapsed="false">
      <c r="A51" s="6" t="s">
        <v>350</v>
      </c>
      <c r="B51" s="6" t="s">
        <v>47</v>
      </c>
      <c r="C51" s="6" t="s">
        <v>48</v>
      </c>
      <c r="D51" s="6" t="s">
        <v>344</v>
      </c>
      <c r="E51" s="6" t="s">
        <v>351</v>
      </c>
      <c r="F51" s="6" t="s">
        <v>55</v>
      </c>
      <c r="G51" s="6" t="s">
        <v>55</v>
      </c>
      <c r="H51" s="6" t="s">
        <v>55</v>
      </c>
      <c r="I51" s="6" t="s">
        <v>55</v>
      </c>
      <c r="J51" s="7" t="s">
        <v>12</v>
      </c>
      <c r="K51" s="7" t="s">
        <v>305</v>
      </c>
      <c r="L51" s="6" t="s">
        <v>352</v>
      </c>
      <c r="M51" s="6" t="s">
        <v>353</v>
      </c>
      <c r="N51" s="6" t="s">
        <v>354</v>
      </c>
      <c r="O51" s="6" t="s">
        <v>355</v>
      </c>
      <c r="P51" s="6" t="s">
        <v>356</v>
      </c>
    </row>
    <row r="52" customFormat="false" ht="14.25" hidden="true" customHeight="true" outlineLevel="0" collapsed="false">
      <c r="A52" s="6" t="s">
        <v>357</v>
      </c>
      <c r="B52" s="6" t="s">
        <v>47</v>
      </c>
      <c r="C52" s="6" t="s">
        <v>48</v>
      </c>
      <c r="D52" s="6" t="s">
        <v>344</v>
      </c>
      <c r="E52" s="6" t="s">
        <v>358</v>
      </c>
      <c r="F52" s="6" t="s">
        <v>359</v>
      </c>
      <c r="G52" s="6" t="s">
        <v>360</v>
      </c>
      <c r="H52" s="6" t="s">
        <v>361</v>
      </c>
      <c r="I52" s="6" t="s">
        <v>216</v>
      </c>
      <c r="J52" s="7" t="s">
        <v>9</v>
      </c>
      <c r="K52" s="7" t="s">
        <v>55</v>
      </c>
      <c r="L52" s="6" t="s">
        <v>55</v>
      </c>
      <c r="M52" s="6" t="s">
        <v>362</v>
      </c>
      <c r="N52" s="6" t="s">
        <v>363</v>
      </c>
      <c r="O52" s="6" t="s">
        <v>364</v>
      </c>
      <c r="P52" s="6" t="s">
        <v>365</v>
      </c>
    </row>
    <row r="53" customFormat="false" ht="14.25" hidden="true" customHeight="true" outlineLevel="0" collapsed="false">
      <c r="A53" s="6" t="s">
        <v>366</v>
      </c>
      <c r="B53" s="6" t="s">
        <v>47</v>
      </c>
      <c r="C53" s="6" t="s">
        <v>48</v>
      </c>
      <c r="D53" s="6" t="s">
        <v>344</v>
      </c>
      <c r="E53" s="6" t="s">
        <v>367</v>
      </c>
      <c r="F53" s="6" t="s">
        <v>368</v>
      </c>
      <c r="G53" s="6" t="s">
        <v>369</v>
      </c>
      <c r="H53" s="6" t="s">
        <v>370</v>
      </c>
      <c r="I53" s="6" t="s">
        <v>216</v>
      </c>
      <c r="J53" s="7" t="s">
        <v>9</v>
      </c>
      <c r="K53" s="7" t="s">
        <v>55</v>
      </c>
      <c r="L53" s="6" t="s">
        <v>55</v>
      </c>
      <c r="M53" s="6" t="s">
        <v>371</v>
      </c>
      <c r="N53" s="6" t="s">
        <v>372</v>
      </c>
      <c r="O53" s="6" t="s">
        <v>373</v>
      </c>
      <c r="P53" s="6" t="s">
        <v>374</v>
      </c>
    </row>
    <row r="54" customFormat="false" ht="14.25" hidden="false" customHeight="true" outlineLevel="0" collapsed="false">
      <c r="A54" s="6" t="s">
        <v>375</v>
      </c>
      <c r="B54" s="6" t="s">
        <v>47</v>
      </c>
      <c r="C54" s="6" t="s">
        <v>48</v>
      </c>
      <c r="D54" s="6" t="s">
        <v>376</v>
      </c>
      <c r="E54" s="6" t="s">
        <v>377</v>
      </c>
      <c r="F54" s="6" t="s">
        <v>55</v>
      </c>
      <c r="G54" s="6" t="s">
        <v>55</v>
      </c>
      <c r="H54" s="6" t="s">
        <v>55</v>
      </c>
      <c r="I54" s="6" t="s">
        <v>55</v>
      </c>
      <c r="J54" s="7" t="s">
        <v>12</v>
      </c>
      <c r="K54" s="7" t="s">
        <v>188</v>
      </c>
      <c r="L54" s="6" t="s">
        <v>378</v>
      </c>
      <c r="M54" s="6" t="s">
        <v>379</v>
      </c>
      <c r="N54" s="6" t="s">
        <v>380</v>
      </c>
      <c r="O54" s="6" t="s">
        <v>381</v>
      </c>
      <c r="P54" s="6" t="s">
        <v>382</v>
      </c>
    </row>
    <row r="55" customFormat="false" ht="14.25" hidden="true" customHeight="true" outlineLevel="0" collapsed="false">
      <c r="A55" s="6" t="s">
        <v>383</v>
      </c>
      <c r="B55" s="6" t="s">
        <v>47</v>
      </c>
      <c r="C55" s="6" t="s">
        <v>384</v>
      </c>
      <c r="D55" s="6" t="s">
        <v>385</v>
      </c>
      <c r="E55" s="6" t="s">
        <v>386</v>
      </c>
      <c r="F55" s="6" t="s">
        <v>387</v>
      </c>
      <c r="G55" s="6" t="s">
        <v>388</v>
      </c>
      <c r="H55" s="6" t="s">
        <v>389</v>
      </c>
      <c r="I55" s="6" t="s">
        <v>54</v>
      </c>
      <c r="J55" s="7" t="s">
        <v>9</v>
      </c>
      <c r="K55" s="7" t="s">
        <v>55</v>
      </c>
      <c r="L55" s="6" t="s">
        <v>55</v>
      </c>
      <c r="M55" s="6" t="s">
        <v>390</v>
      </c>
      <c r="N55" s="6" t="s">
        <v>135</v>
      </c>
      <c r="O55" s="6" t="s">
        <v>391</v>
      </c>
      <c r="P55" s="6" t="s">
        <v>392</v>
      </c>
    </row>
    <row r="56" customFormat="false" ht="14.25" hidden="true" customHeight="true" outlineLevel="0" collapsed="false">
      <c r="A56" s="6" t="s">
        <v>393</v>
      </c>
      <c r="B56" s="6" t="s">
        <v>47</v>
      </c>
      <c r="C56" s="6" t="s">
        <v>384</v>
      </c>
      <c r="D56" s="6" t="s">
        <v>385</v>
      </c>
      <c r="E56" s="6" t="s">
        <v>394</v>
      </c>
      <c r="F56" s="6" t="s">
        <v>395</v>
      </c>
      <c r="G56" s="6" t="s">
        <v>396</v>
      </c>
      <c r="H56" s="6" t="s">
        <v>397</v>
      </c>
      <c r="I56" s="6" t="s">
        <v>54</v>
      </c>
      <c r="J56" s="7" t="s">
        <v>9</v>
      </c>
      <c r="K56" s="7" t="s">
        <v>55</v>
      </c>
      <c r="L56" s="6" t="s">
        <v>55</v>
      </c>
      <c r="M56" s="6" t="s">
        <v>398</v>
      </c>
      <c r="N56" s="6" t="s">
        <v>135</v>
      </c>
      <c r="O56" s="6" t="s">
        <v>399</v>
      </c>
      <c r="P56" s="6" t="s">
        <v>400</v>
      </c>
    </row>
    <row r="57" customFormat="false" ht="14.25" hidden="true" customHeight="true" outlineLevel="0" collapsed="false">
      <c r="A57" s="6" t="s">
        <v>401</v>
      </c>
      <c r="B57" s="6" t="s">
        <v>47</v>
      </c>
      <c r="C57" s="6" t="s">
        <v>384</v>
      </c>
      <c r="D57" s="6" t="s">
        <v>385</v>
      </c>
      <c r="E57" s="6" t="s">
        <v>402</v>
      </c>
      <c r="F57" s="6" t="s">
        <v>185</v>
      </c>
      <c r="G57" s="6" t="s">
        <v>186</v>
      </c>
      <c r="H57" s="6" t="s">
        <v>187</v>
      </c>
      <c r="I57" s="6" t="s">
        <v>54</v>
      </c>
      <c r="J57" s="7" t="s">
        <v>6</v>
      </c>
      <c r="K57" s="7" t="s">
        <v>55</v>
      </c>
      <c r="L57" s="6" t="s">
        <v>55</v>
      </c>
      <c r="M57" s="6" t="s">
        <v>403</v>
      </c>
      <c r="N57" s="6" t="s">
        <v>135</v>
      </c>
      <c r="O57" s="6" t="s">
        <v>404</v>
      </c>
      <c r="P57" s="6" t="s">
        <v>405</v>
      </c>
    </row>
    <row r="58" customFormat="false" ht="14.25" hidden="true" customHeight="true" outlineLevel="0" collapsed="false">
      <c r="A58" s="6" t="s">
        <v>406</v>
      </c>
      <c r="B58" s="6" t="s">
        <v>47</v>
      </c>
      <c r="C58" s="6" t="s">
        <v>384</v>
      </c>
      <c r="D58" s="6" t="s">
        <v>385</v>
      </c>
      <c r="E58" s="6" t="s">
        <v>407</v>
      </c>
      <c r="F58" s="6" t="s">
        <v>158</v>
      </c>
      <c r="G58" s="6" t="s">
        <v>159</v>
      </c>
      <c r="H58" s="6" t="s">
        <v>160</v>
      </c>
      <c r="I58" s="6" t="s">
        <v>54</v>
      </c>
      <c r="J58" s="7" t="s">
        <v>9</v>
      </c>
      <c r="K58" s="7" t="s">
        <v>55</v>
      </c>
      <c r="L58" s="6" t="s">
        <v>55</v>
      </c>
      <c r="M58" s="6" t="s">
        <v>408</v>
      </c>
      <c r="N58" s="6" t="s">
        <v>135</v>
      </c>
      <c r="O58" s="6" t="s">
        <v>409</v>
      </c>
      <c r="P58" s="6" t="s">
        <v>111</v>
      </c>
    </row>
    <row r="59" customFormat="false" ht="14.25" hidden="true" customHeight="true" outlineLevel="0" collapsed="false">
      <c r="A59" s="6" t="s">
        <v>410</v>
      </c>
      <c r="B59" s="6" t="s">
        <v>47</v>
      </c>
      <c r="C59" s="6" t="s">
        <v>384</v>
      </c>
      <c r="D59" s="6" t="s">
        <v>385</v>
      </c>
      <c r="E59" s="6" t="s">
        <v>411</v>
      </c>
      <c r="F59" s="6" t="s">
        <v>158</v>
      </c>
      <c r="G59" s="6" t="s">
        <v>159</v>
      </c>
      <c r="H59" s="6" t="s">
        <v>160</v>
      </c>
      <c r="I59" s="6" t="s">
        <v>54</v>
      </c>
      <c r="J59" s="7" t="s">
        <v>9</v>
      </c>
      <c r="K59" s="7" t="s">
        <v>55</v>
      </c>
      <c r="L59" s="6" t="s">
        <v>55</v>
      </c>
      <c r="M59" s="6" t="s">
        <v>412</v>
      </c>
      <c r="N59" s="6" t="s">
        <v>135</v>
      </c>
      <c r="O59" s="6" t="s">
        <v>413</v>
      </c>
      <c r="P59" s="6" t="s">
        <v>414</v>
      </c>
    </row>
    <row r="60" customFormat="false" ht="14.25" hidden="false" customHeight="true" outlineLevel="0" collapsed="false">
      <c r="A60" s="6" t="s">
        <v>415</v>
      </c>
      <c r="B60" s="6" t="s">
        <v>47</v>
      </c>
      <c r="C60" s="6" t="s">
        <v>384</v>
      </c>
      <c r="D60" s="6" t="s">
        <v>385</v>
      </c>
      <c r="E60" s="6" t="s">
        <v>416</v>
      </c>
      <c r="F60" s="6" t="s">
        <v>55</v>
      </c>
      <c r="G60" s="6" t="s">
        <v>55</v>
      </c>
      <c r="H60" s="6" t="s">
        <v>55</v>
      </c>
      <c r="I60" s="6" t="s">
        <v>55</v>
      </c>
      <c r="J60" s="7" t="s">
        <v>12</v>
      </c>
      <c r="K60" s="7" t="s">
        <v>305</v>
      </c>
      <c r="L60" s="6" t="s">
        <v>417</v>
      </c>
      <c r="M60" s="6" t="s">
        <v>418</v>
      </c>
      <c r="N60" s="6" t="s">
        <v>135</v>
      </c>
      <c r="O60" s="6" t="s">
        <v>419</v>
      </c>
      <c r="P60" s="6" t="s">
        <v>420</v>
      </c>
    </row>
    <row r="61" customFormat="false" ht="14.25" hidden="false" customHeight="true" outlineLevel="0" collapsed="false">
      <c r="A61" s="6" t="s">
        <v>421</v>
      </c>
      <c r="B61" s="6" t="s">
        <v>47</v>
      </c>
      <c r="C61" s="6" t="s">
        <v>384</v>
      </c>
      <c r="D61" s="6" t="s">
        <v>385</v>
      </c>
      <c r="E61" s="6" t="s">
        <v>422</v>
      </c>
      <c r="F61" s="6" t="s">
        <v>55</v>
      </c>
      <c r="G61" s="6" t="s">
        <v>55</v>
      </c>
      <c r="H61" s="6" t="s">
        <v>55</v>
      </c>
      <c r="I61" s="6" t="s">
        <v>55</v>
      </c>
      <c r="J61" s="7" t="s">
        <v>12</v>
      </c>
      <c r="K61" s="7" t="s">
        <v>188</v>
      </c>
      <c r="L61" s="6" t="s">
        <v>423</v>
      </c>
      <c r="M61" s="6" t="s">
        <v>424</v>
      </c>
      <c r="N61" s="6" t="s">
        <v>135</v>
      </c>
      <c r="O61" s="6" t="s">
        <v>227</v>
      </c>
      <c r="P61" s="6" t="s">
        <v>425</v>
      </c>
    </row>
    <row r="62" customFormat="false" ht="14.25" hidden="true" customHeight="true" outlineLevel="0" collapsed="false">
      <c r="A62" s="6" t="s">
        <v>426</v>
      </c>
      <c r="B62" s="6" t="s">
        <v>47</v>
      </c>
      <c r="C62" s="6" t="s">
        <v>384</v>
      </c>
      <c r="D62" s="6" t="s">
        <v>385</v>
      </c>
      <c r="E62" s="6" t="s">
        <v>427</v>
      </c>
      <c r="F62" s="6" t="s">
        <v>292</v>
      </c>
      <c r="G62" s="6" t="s">
        <v>293</v>
      </c>
      <c r="H62" s="6" t="s">
        <v>294</v>
      </c>
      <c r="I62" s="6" t="s">
        <v>54</v>
      </c>
      <c r="J62" s="7" t="s">
        <v>9</v>
      </c>
      <c r="K62" s="7" t="s">
        <v>55</v>
      </c>
      <c r="L62" s="6" t="s">
        <v>55</v>
      </c>
      <c r="M62" s="6" t="s">
        <v>428</v>
      </c>
      <c r="N62" s="6" t="s">
        <v>135</v>
      </c>
      <c r="O62" s="6" t="s">
        <v>429</v>
      </c>
      <c r="P62" s="6" t="s">
        <v>302</v>
      </c>
    </row>
    <row r="63" customFormat="false" ht="14.25" hidden="false" customHeight="true" outlineLevel="0" collapsed="false">
      <c r="A63" s="6" t="s">
        <v>430</v>
      </c>
      <c r="B63" s="6" t="s">
        <v>47</v>
      </c>
      <c r="C63" s="6" t="s">
        <v>384</v>
      </c>
      <c r="D63" s="6" t="s">
        <v>385</v>
      </c>
      <c r="E63" s="6" t="s">
        <v>431</v>
      </c>
      <c r="F63" s="6" t="s">
        <v>55</v>
      </c>
      <c r="G63" s="6" t="s">
        <v>55</v>
      </c>
      <c r="H63" s="6" t="s">
        <v>55</v>
      </c>
      <c r="I63" s="6" t="s">
        <v>55</v>
      </c>
      <c r="J63" s="7" t="s">
        <v>12</v>
      </c>
      <c r="K63" s="7" t="s">
        <v>305</v>
      </c>
      <c r="L63" s="6" t="s">
        <v>432</v>
      </c>
      <c r="M63" s="6" t="s">
        <v>433</v>
      </c>
      <c r="N63" s="6" t="s">
        <v>434</v>
      </c>
      <c r="O63" s="6" t="s">
        <v>435</v>
      </c>
      <c r="P63" s="6" t="s">
        <v>436</v>
      </c>
    </row>
    <row r="64" customFormat="false" ht="14.25" hidden="false" customHeight="true" outlineLevel="0" collapsed="false">
      <c r="A64" s="6" t="s">
        <v>437</v>
      </c>
      <c r="B64" s="6" t="s">
        <v>47</v>
      </c>
      <c r="C64" s="6" t="s">
        <v>384</v>
      </c>
      <c r="D64" s="6" t="s">
        <v>385</v>
      </c>
      <c r="E64" s="6" t="s">
        <v>438</v>
      </c>
      <c r="F64" s="6" t="s">
        <v>55</v>
      </c>
      <c r="G64" s="6" t="s">
        <v>55</v>
      </c>
      <c r="H64" s="6" t="s">
        <v>55</v>
      </c>
      <c r="I64" s="6" t="s">
        <v>55</v>
      </c>
      <c r="J64" s="7" t="s">
        <v>12</v>
      </c>
      <c r="K64" s="7" t="s">
        <v>188</v>
      </c>
      <c r="L64" s="6" t="s">
        <v>439</v>
      </c>
      <c r="M64" s="6" t="s">
        <v>440</v>
      </c>
      <c r="N64" s="6" t="s">
        <v>441</v>
      </c>
      <c r="O64" s="6" t="s">
        <v>227</v>
      </c>
      <c r="P64" s="6" t="s">
        <v>442</v>
      </c>
    </row>
    <row r="65" customFormat="false" ht="14.25" hidden="true" customHeight="true" outlineLevel="0" collapsed="false">
      <c r="A65" s="6" t="s">
        <v>443</v>
      </c>
      <c r="B65" s="6" t="s">
        <v>47</v>
      </c>
      <c r="C65" s="6" t="s">
        <v>444</v>
      </c>
      <c r="D65" s="6" t="s">
        <v>445</v>
      </c>
      <c r="E65" s="6" t="s">
        <v>446</v>
      </c>
      <c r="F65" s="6" t="s">
        <v>55</v>
      </c>
      <c r="G65" s="6" t="s">
        <v>55</v>
      </c>
      <c r="H65" s="6" t="s">
        <v>55</v>
      </c>
      <c r="I65" s="6" t="s">
        <v>55</v>
      </c>
      <c r="J65" s="7" t="s">
        <v>18</v>
      </c>
      <c r="K65" s="7" t="s">
        <v>55</v>
      </c>
      <c r="L65" s="6" t="s">
        <v>55</v>
      </c>
      <c r="M65" s="6" t="s">
        <v>324</v>
      </c>
      <c r="N65" s="6" t="s">
        <v>447</v>
      </c>
      <c r="O65" s="6" t="s">
        <v>448</v>
      </c>
      <c r="P65" s="6" t="s">
        <v>449</v>
      </c>
    </row>
    <row r="66" customFormat="false" ht="14.25" hidden="false" customHeight="true" outlineLevel="0" collapsed="false">
      <c r="A66" s="6" t="s">
        <v>450</v>
      </c>
      <c r="B66" s="6" t="s">
        <v>47</v>
      </c>
      <c r="C66" s="6" t="s">
        <v>444</v>
      </c>
      <c r="D66" s="6" t="s">
        <v>445</v>
      </c>
      <c r="E66" s="6" t="s">
        <v>451</v>
      </c>
      <c r="F66" s="6" t="s">
        <v>55</v>
      </c>
      <c r="G66" s="6" t="s">
        <v>55</v>
      </c>
      <c r="H66" s="6" t="s">
        <v>55</v>
      </c>
      <c r="I66" s="6" t="s">
        <v>55</v>
      </c>
      <c r="J66" s="7" t="s">
        <v>12</v>
      </c>
      <c r="K66" s="7" t="s">
        <v>305</v>
      </c>
      <c r="L66" s="6" t="s">
        <v>452</v>
      </c>
      <c r="M66" s="6" t="s">
        <v>453</v>
      </c>
      <c r="N66" s="6" t="s">
        <v>454</v>
      </c>
      <c r="O66" s="6" t="s">
        <v>455</v>
      </c>
      <c r="P66" s="6" t="s">
        <v>456</v>
      </c>
    </row>
    <row r="67" customFormat="false" ht="14.25" hidden="true" customHeight="true" outlineLevel="0" collapsed="false">
      <c r="A67" s="6" t="s">
        <v>457</v>
      </c>
      <c r="B67" s="6" t="s">
        <v>47</v>
      </c>
      <c r="C67" s="6" t="s">
        <v>444</v>
      </c>
      <c r="D67" s="6" t="s">
        <v>445</v>
      </c>
      <c r="E67" s="6" t="s">
        <v>458</v>
      </c>
      <c r="F67" s="6" t="s">
        <v>55</v>
      </c>
      <c r="G67" s="6" t="s">
        <v>55</v>
      </c>
      <c r="H67" s="6" t="s">
        <v>55</v>
      </c>
      <c r="I67" s="6" t="s">
        <v>55</v>
      </c>
      <c r="J67" s="7" t="s">
        <v>18</v>
      </c>
      <c r="K67" s="7" t="s">
        <v>55</v>
      </c>
      <c r="L67" s="6" t="s">
        <v>55</v>
      </c>
      <c r="M67" s="6" t="s">
        <v>324</v>
      </c>
      <c r="N67" s="6" t="s">
        <v>459</v>
      </c>
      <c r="O67" s="6" t="s">
        <v>460</v>
      </c>
      <c r="P67" s="6" t="s">
        <v>461</v>
      </c>
    </row>
    <row r="68" customFormat="false" ht="14.25" hidden="false" customHeight="true" outlineLevel="0" collapsed="false">
      <c r="A68" s="6" t="s">
        <v>462</v>
      </c>
      <c r="B68" s="6" t="s">
        <v>47</v>
      </c>
      <c r="C68" s="6" t="s">
        <v>444</v>
      </c>
      <c r="D68" s="6" t="s">
        <v>445</v>
      </c>
      <c r="E68" s="6" t="s">
        <v>463</v>
      </c>
      <c r="F68" s="6" t="s">
        <v>55</v>
      </c>
      <c r="G68" s="6" t="s">
        <v>55</v>
      </c>
      <c r="H68" s="6" t="s">
        <v>55</v>
      </c>
      <c r="I68" s="6" t="s">
        <v>55</v>
      </c>
      <c r="J68" s="7" t="s">
        <v>12</v>
      </c>
      <c r="K68" s="7" t="s">
        <v>305</v>
      </c>
      <c r="L68" s="6" t="s">
        <v>464</v>
      </c>
      <c r="M68" s="6" t="s">
        <v>465</v>
      </c>
      <c r="N68" s="6" t="s">
        <v>466</v>
      </c>
      <c r="O68" s="6" t="s">
        <v>467</v>
      </c>
      <c r="P68" s="6" t="s">
        <v>468</v>
      </c>
    </row>
    <row r="69" customFormat="false" ht="14.25" hidden="false" customHeight="true" outlineLevel="0" collapsed="false">
      <c r="A69" s="6" t="s">
        <v>469</v>
      </c>
      <c r="B69" s="6" t="s">
        <v>47</v>
      </c>
      <c r="C69" s="6" t="s">
        <v>444</v>
      </c>
      <c r="D69" s="6" t="s">
        <v>445</v>
      </c>
      <c r="E69" s="6" t="s">
        <v>470</v>
      </c>
      <c r="F69" s="6" t="s">
        <v>55</v>
      </c>
      <c r="G69" s="6" t="s">
        <v>55</v>
      </c>
      <c r="H69" s="6" t="s">
        <v>55</v>
      </c>
      <c r="I69" s="6" t="s">
        <v>55</v>
      </c>
      <c r="J69" s="7" t="s">
        <v>12</v>
      </c>
      <c r="K69" s="7" t="s">
        <v>188</v>
      </c>
      <c r="L69" s="6" t="s">
        <v>471</v>
      </c>
      <c r="M69" s="6" t="s">
        <v>472</v>
      </c>
      <c r="N69" s="6" t="s">
        <v>473</v>
      </c>
      <c r="O69" s="6" t="s">
        <v>474</v>
      </c>
      <c r="P69" s="6" t="s">
        <v>475</v>
      </c>
    </row>
    <row r="70" customFormat="false" ht="14.25" hidden="true" customHeight="true" outlineLevel="0" collapsed="false">
      <c r="A70" s="6" t="s">
        <v>476</v>
      </c>
      <c r="B70" s="6" t="s">
        <v>47</v>
      </c>
      <c r="C70" s="6" t="s">
        <v>477</v>
      </c>
      <c r="D70" s="6" t="s">
        <v>478</v>
      </c>
      <c r="E70" s="6" t="s">
        <v>479</v>
      </c>
      <c r="F70" s="6" t="s">
        <v>55</v>
      </c>
      <c r="G70" s="6" t="s">
        <v>55</v>
      </c>
      <c r="H70" s="6" t="s">
        <v>55</v>
      </c>
      <c r="I70" s="6" t="s">
        <v>55</v>
      </c>
      <c r="J70" s="7" t="s">
        <v>21</v>
      </c>
      <c r="K70" s="7" t="s">
        <v>55</v>
      </c>
      <c r="L70" s="6" t="s">
        <v>55</v>
      </c>
      <c r="M70" s="6" t="s">
        <v>55</v>
      </c>
      <c r="N70" s="6" t="s">
        <v>480</v>
      </c>
      <c r="O70" s="6" t="s">
        <v>481</v>
      </c>
      <c r="P70" s="6" t="s">
        <v>482</v>
      </c>
    </row>
    <row r="71" customFormat="false" ht="14.25" hidden="true" customHeight="true" outlineLevel="0" collapsed="false">
      <c r="A71" s="6" t="s">
        <v>483</v>
      </c>
      <c r="B71" s="6" t="s">
        <v>47</v>
      </c>
      <c r="C71" s="6" t="s">
        <v>477</v>
      </c>
      <c r="D71" s="6" t="s">
        <v>478</v>
      </c>
      <c r="E71" s="6" t="s">
        <v>484</v>
      </c>
      <c r="F71" s="6" t="s">
        <v>55</v>
      </c>
      <c r="G71" s="6" t="s">
        <v>55</v>
      </c>
      <c r="H71" s="6" t="s">
        <v>55</v>
      </c>
      <c r="I71" s="6" t="s">
        <v>55</v>
      </c>
      <c r="J71" s="7" t="s">
        <v>21</v>
      </c>
      <c r="K71" s="7" t="s">
        <v>55</v>
      </c>
      <c r="L71" s="6" t="s">
        <v>55</v>
      </c>
      <c r="M71" s="6" t="s">
        <v>55</v>
      </c>
      <c r="N71" s="6" t="s">
        <v>485</v>
      </c>
      <c r="O71" s="6" t="s">
        <v>486</v>
      </c>
      <c r="P71" s="6" t="s">
        <v>487</v>
      </c>
    </row>
    <row r="72" customFormat="false" ht="14.25" hidden="true" customHeight="true" outlineLevel="0" collapsed="false">
      <c r="A72" s="6" t="s">
        <v>488</v>
      </c>
      <c r="B72" s="6" t="s">
        <v>47</v>
      </c>
      <c r="C72" s="6" t="s">
        <v>477</v>
      </c>
      <c r="D72" s="6" t="s">
        <v>478</v>
      </c>
      <c r="E72" s="6" t="s">
        <v>489</v>
      </c>
      <c r="F72" s="6" t="s">
        <v>55</v>
      </c>
      <c r="G72" s="6" t="s">
        <v>55</v>
      </c>
      <c r="H72" s="6" t="s">
        <v>55</v>
      </c>
      <c r="I72" s="6" t="s">
        <v>55</v>
      </c>
      <c r="J72" s="7" t="s">
        <v>21</v>
      </c>
      <c r="K72" s="7" t="s">
        <v>55</v>
      </c>
      <c r="L72" s="6" t="s">
        <v>55</v>
      </c>
      <c r="M72" s="6" t="s">
        <v>55</v>
      </c>
      <c r="N72" s="6" t="s">
        <v>490</v>
      </c>
      <c r="O72" s="6" t="s">
        <v>491</v>
      </c>
      <c r="P72" s="6" t="s">
        <v>492</v>
      </c>
    </row>
    <row r="73" customFormat="false" ht="14.25" hidden="false" customHeight="true" outlineLevel="0" collapsed="false">
      <c r="A73" s="6" t="s">
        <v>493</v>
      </c>
      <c r="B73" s="6" t="s">
        <v>47</v>
      </c>
      <c r="C73" s="6" t="s">
        <v>477</v>
      </c>
      <c r="D73" s="6" t="s">
        <v>478</v>
      </c>
      <c r="E73" s="6" t="s">
        <v>494</v>
      </c>
      <c r="F73" s="6" t="s">
        <v>55</v>
      </c>
      <c r="G73" s="6" t="s">
        <v>55</v>
      </c>
      <c r="H73" s="6" t="s">
        <v>55</v>
      </c>
      <c r="I73" s="6" t="s">
        <v>55</v>
      </c>
      <c r="J73" s="7" t="s">
        <v>12</v>
      </c>
      <c r="K73" s="7" t="s">
        <v>305</v>
      </c>
      <c r="L73" s="6" t="s">
        <v>495</v>
      </c>
      <c r="M73" s="6" t="s">
        <v>496</v>
      </c>
      <c r="N73" s="6" t="s">
        <v>55</v>
      </c>
      <c r="O73" s="6" t="s">
        <v>497</v>
      </c>
      <c r="P73" s="6" t="s">
        <v>498</v>
      </c>
    </row>
    <row r="74" customFormat="false" ht="14.25" hidden="true" customHeight="true" outlineLevel="0" collapsed="false">
      <c r="A74" s="6" t="s">
        <v>499</v>
      </c>
      <c r="B74" s="6" t="s">
        <v>47</v>
      </c>
      <c r="C74" s="6" t="s">
        <v>477</v>
      </c>
      <c r="D74" s="6" t="s">
        <v>478</v>
      </c>
      <c r="E74" s="6" t="s">
        <v>500</v>
      </c>
      <c r="F74" s="6" t="s">
        <v>55</v>
      </c>
      <c r="G74" s="6" t="s">
        <v>55</v>
      </c>
      <c r="H74" s="6" t="s">
        <v>55</v>
      </c>
      <c r="I74" s="6" t="s">
        <v>55</v>
      </c>
      <c r="J74" s="7" t="s">
        <v>21</v>
      </c>
      <c r="K74" s="7" t="s">
        <v>55</v>
      </c>
      <c r="L74" s="6" t="s">
        <v>55</v>
      </c>
      <c r="M74" s="6" t="s">
        <v>55</v>
      </c>
      <c r="N74" s="6" t="s">
        <v>485</v>
      </c>
      <c r="O74" s="6" t="s">
        <v>501</v>
      </c>
      <c r="P74" s="6" t="s">
        <v>502</v>
      </c>
    </row>
    <row r="75" customFormat="false" ht="14.25" hidden="true" customHeight="true" outlineLevel="0" collapsed="false">
      <c r="A75" s="6" t="s">
        <v>503</v>
      </c>
      <c r="B75" s="6" t="s">
        <v>47</v>
      </c>
      <c r="C75" s="6" t="s">
        <v>477</v>
      </c>
      <c r="D75" s="6" t="s">
        <v>504</v>
      </c>
      <c r="E75" s="6" t="s">
        <v>505</v>
      </c>
      <c r="F75" s="6" t="s">
        <v>55</v>
      </c>
      <c r="G75" s="6" t="s">
        <v>55</v>
      </c>
      <c r="H75" s="6" t="s">
        <v>55</v>
      </c>
      <c r="I75" s="6" t="s">
        <v>55</v>
      </c>
      <c r="J75" s="7" t="s">
        <v>15</v>
      </c>
      <c r="K75" s="7" t="s">
        <v>506</v>
      </c>
      <c r="L75" s="6" t="s">
        <v>507</v>
      </c>
      <c r="M75" s="6" t="s">
        <v>55</v>
      </c>
      <c r="N75" s="6" t="s">
        <v>508</v>
      </c>
      <c r="O75" s="6" t="s">
        <v>509</v>
      </c>
      <c r="P75" s="6" t="s">
        <v>510</v>
      </c>
    </row>
    <row r="76" customFormat="false" ht="14.25" hidden="false" customHeight="true" outlineLevel="0" collapsed="false">
      <c r="A76" s="6" t="s">
        <v>511</v>
      </c>
      <c r="B76" s="6" t="s">
        <v>47</v>
      </c>
      <c r="C76" s="6" t="s">
        <v>477</v>
      </c>
      <c r="D76" s="6" t="s">
        <v>504</v>
      </c>
      <c r="E76" s="6" t="s">
        <v>512</v>
      </c>
      <c r="F76" s="6" t="s">
        <v>55</v>
      </c>
      <c r="G76" s="6" t="s">
        <v>55</v>
      </c>
      <c r="H76" s="6" t="s">
        <v>55</v>
      </c>
      <c r="I76" s="6" t="s">
        <v>55</v>
      </c>
      <c r="J76" s="7" t="s">
        <v>12</v>
      </c>
      <c r="K76" s="7" t="s">
        <v>188</v>
      </c>
      <c r="L76" s="6" t="s">
        <v>513</v>
      </c>
      <c r="M76" s="6" t="s">
        <v>514</v>
      </c>
      <c r="N76" s="6" t="s">
        <v>515</v>
      </c>
      <c r="O76" s="6" t="s">
        <v>516</v>
      </c>
      <c r="P76" s="6" t="s">
        <v>517</v>
      </c>
    </row>
    <row r="77" customFormat="false" ht="14.25" hidden="false" customHeight="true" outlineLevel="0" collapsed="false">
      <c r="A77" s="6" t="s">
        <v>518</v>
      </c>
      <c r="B77" s="6" t="s">
        <v>47</v>
      </c>
      <c r="C77" s="6" t="s">
        <v>477</v>
      </c>
      <c r="D77" s="6" t="s">
        <v>504</v>
      </c>
      <c r="E77" s="6" t="s">
        <v>519</v>
      </c>
      <c r="F77" s="6" t="s">
        <v>55</v>
      </c>
      <c r="G77" s="6" t="s">
        <v>55</v>
      </c>
      <c r="H77" s="6" t="s">
        <v>55</v>
      </c>
      <c r="I77" s="6" t="s">
        <v>55</v>
      </c>
      <c r="J77" s="7" t="s">
        <v>12</v>
      </c>
      <c r="K77" s="7" t="s">
        <v>188</v>
      </c>
      <c r="L77" s="6" t="s">
        <v>520</v>
      </c>
      <c r="M77" s="6" t="s">
        <v>521</v>
      </c>
      <c r="N77" s="6" t="s">
        <v>434</v>
      </c>
      <c r="O77" s="6" t="s">
        <v>516</v>
      </c>
      <c r="P77" s="6" t="s">
        <v>522</v>
      </c>
    </row>
    <row r="78" customFormat="false" ht="14.25" hidden="false" customHeight="true" outlineLevel="0" collapsed="false">
      <c r="A78" s="6" t="s">
        <v>523</v>
      </c>
      <c r="B78" s="6" t="s">
        <v>47</v>
      </c>
      <c r="C78" s="6" t="s">
        <v>477</v>
      </c>
      <c r="D78" s="6" t="s">
        <v>504</v>
      </c>
      <c r="E78" s="6" t="s">
        <v>524</v>
      </c>
      <c r="F78" s="6" t="s">
        <v>55</v>
      </c>
      <c r="G78" s="6" t="s">
        <v>55</v>
      </c>
      <c r="H78" s="6" t="s">
        <v>55</v>
      </c>
      <c r="I78" s="6" t="s">
        <v>55</v>
      </c>
      <c r="J78" s="7" t="s">
        <v>12</v>
      </c>
      <c r="K78" s="7" t="s">
        <v>305</v>
      </c>
      <c r="L78" s="6" t="s">
        <v>525</v>
      </c>
      <c r="M78" s="6" t="s">
        <v>526</v>
      </c>
      <c r="N78" s="6" t="s">
        <v>527</v>
      </c>
      <c r="O78" s="6" t="s">
        <v>516</v>
      </c>
      <c r="P78" s="6" t="s">
        <v>528</v>
      </c>
    </row>
    <row r="79" customFormat="false" ht="14.25" hidden="true" customHeight="true" outlineLevel="0" collapsed="false">
      <c r="A79" s="6" t="s">
        <v>529</v>
      </c>
      <c r="B79" s="6" t="s">
        <v>47</v>
      </c>
      <c r="C79" s="6" t="s">
        <v>477</v>
      </c>
      <c r="D79" s="6" t="s">
        <v>504</v>
      </c>
      <c r="E79" s="6" t="s">
        <v>530</v>
      </c>
      <c r="F79" s="6" t="s">
        <v>55</v>
      </c>
      <c r="G79" s="6" t="s">
        <v>55</v>
      </c>
      <c r="H79" s="6" t="s">
        <v>55</v>
      </c>
      <c r="I79" s="6" t="s">
        <v>55</v>
      </c>
      <c r="J79" s="7" t="s">
        <v>21</v>
      </c>
      <c r="K79" s="7" t="s">
        <v>55</v>
      </c>
      <c r="L79" s="6" t="s">
        <v>55</v>
      </c>
      <c r="M79" s="6" t="s">
        <v>55</v>
      </c>
      <c r="N79" s="6" t="s">
        <v>531</v>
      </c>
      <c r="O79" s="6" t="s">
        <v>532</v>
      </c>
      <c r="P79" s="6" t="s">
        <v>533</v>
      </c>
    </row>
    <row r="80" customFormat="false" ht="14.25" hidden="true" customHeight="true" outlineLevel="0" collapsed="false">
      <c r="A80" s="6" t="s">
        <v>534</v>
      </c>
      <c r="B80" s="6" t="s">
        <v>47</v>
      </c>
      <c r="C80" s="6" t="s">
        <v>477</v>
      </c>
      <c r="D80" s="6" t="s">
        <v>504</v>
      </c>
      <c r="E80" s="6" t="s">
        <v>535</v>
      </c>
      <c r="F80" s="6" t="s">
        <v>55</v>
      </c>
      <c r="G80" s="6" t="s">
        <v>55</v>
      </c>
      <c r="H80" s="6" t="s">
        <v>55</v>
      </c>
      <c r="I80" s="6" t="s">
        <v>55</v>
      </c>
      <c r="J80" s="7" t="s">
        <v>21</v>
      </c>
      <c r="K80" s="7" t="s">
        <v>55</v>
      </c>
      <c r="L80" s="6" t="s">
        <v>55</v>
      </c>
      <c r="M80" s="6" t="s">
        <v>55</v>
      </c>
      <c r="N80" s="6" t="s">
        <v>536</v>
      </c>
      <c r="O80" s="6" t="s">
        <v>537</v>
      </c>
      <c r="P80" s="6" t="s">
        <v>538</v>
      </c>
    </row>
    <row r="81" customFormat="false" ht="14.25" hidden="true" customHeight="true" outlineLevel="0" collapsed="false">
      <c r="A81" s="6" t="s">
        <v>539</v>
      </c>
      <c r="B81" s="6" t="s">
        <v>47</v>
      </c>
      <c r="C81" s="6" t="s">
        <v>477</v>
      </c>
      <c r="D81" s="6" t="s">
        <v>504</v>
      </c>
      <c r="E81" s="6" t="s">
        <v>540</v>
      </c>
      <c r="F81" s="6" t="s">
        <v>55</v>
      </c>
      <c r="G81" s="6" t="s">
        <v>55</v>
      </c>
      <c r="H81" s="6" t="s">
        <v>55</v>
      </c>
      <c r="I81" s="6" t="s">
        <v>55</v>
      </c>
      <c r="J81" s="7" t="s">
        <v>21</v>
      </c>
      <c r="K81" s="7" t="s">
        <v>55</v>
      </c>
      <c r="L81" s="6" t="s">
        <v>55</v>
      </c>
      <c r="M81" s="6" t="s">
        <v>55</v>
      </c>
      <c r="N81" s="6" t="s">
        <v>55</v>
      </c>
      <c r="O81" s="6" t="s">
        <v>516</v>
      </c>
      <c r="P81" s="6" t="s">
        <v>541</v>
      </c>
    </row>
    <row r="82" customFormat="false" ht="14.25" hidden="true" customHeight="true" outlineLevel="0" collapsed="false">
      <c r="A82" s="6" t="s">
        <v>542</v>
      </c>
      <c r="B82" s="6" t="s">
        <v>47</v>
      </c>
      <c r="C82" s="6" t="s">
        <v>477</v>
      </c>
      <c r="D82" s="6" t="s">
        <v>504</v>
      </c>
      <c r="E82" s="6" t="s">
        <v>543</v>
      </c>
      <c r="F82" s="6" t="s">
        <v>55</v>
      </c>
      <c r="G82" s="6" t="s">
        <v>55</v>
      </c>
      <c r="H82" s="6" t="s">
        <v>55</v>
      </c>
      <c r="I82" s="6" t="s">
        <v>55</v>
      </c>
      <c r="J82" s="7" t="s">
        <v>21</v>
      </c>
      <c r="K82" s="7" t="s">
        <v>55</v>
      </c>
      <c r="L82" s="6" t="s">
        <v>55</v>
      </c>
      <c r="M82" s="6" t="s">
        <v>55</v>
      </c>
      <c r="N82" s="6" t="s">
        <v>544</v>
      </c>
      <c r="O82" s="6" t="s">
        <v>545</v>
      </c>
      <c r="P82" s="6" t="s">
        <v>546</v>
      </c>
    </row>
    <row r="83" customFormat="false" ht="14.25" hidden="false" customHeight="true" outlineLevel="0" collapsed="false">
      <c r="A83" s="6" t="s">
        <v>547</v>
      </c>
      <c r="B83" s="6" t="s">
        <v>47</v>
      </c>
      <c r="C83" s="6" t="s">
        <v>477</v>
      </c>
      <c r="D83" s="6" t="s">
        <v>548</v>
      </c>
      <c r="E83" s="6" t="s">
        <v>549</v>
      </c>
      <c r="F83" s="6" t="s">
        <v>55</v>
      </c>
      <c r="G83" s="6" t="s">
        <v>55</v>
      </c>
      <c r="H83" s="6" t="s">
        <v>55</v>
      </c>
      <c r="I83" s="6" t="s">
        <v>55</v>
      </c>
      <c r="J83" s="7" t="s">
        <v>12</v>
      </c>
      <c r="K83" s="7" t="s">
        <v>188</v>
      </c>
      <c r="L83" s="6" t="s">
        <v>550</v>
      </c>
      <c r="M83" s="6" t="s">
        <v>551</v>
      </c>
      <c r="N83" s="6" t="s">
        <v>552</v>
      </c>
      <c r="O83" s="6" t="s">
        <v>516</v>
      </c>
      <c r="P83" s="6" t="s">
        <v>553</v>
      </c>
    </row>
    <row r="84" customFormat="false" ht="14.25" hidden="false" customHeight="true" outlineLevel="0" collapsed="false">
      <c r="A84" s="6" t="s">
        <v>554</v>
      </c>
      <c r="B84" s="6" t="s">
        <v>47</v>
      </c>
      <c r="C84" s="6" t="s">
        <v>477</v>
      </c>
      <c r="D84" s="6" t="s">
        <v>548</v>
      </c>
      <c r="E84" s="6" t="s">
        <v>555</v>
      </c>
      <c r="F84" s="6" t="s">
        <v>55</v>
      </c>
      <c r="G84" s="6" t="s">
        <v>55</v>
      </c>
      <c r="H84" s="6" t="s">
        <v>55</v>
      </c>
      <c r="I84" s="6" t="s">
        <v>55</v>
      </c>
      <c r="J84" s="7" t="s">
        <v>12</v>
      </c>
      <c r="K84" s="7" t="s">
        <v>305</v>
      </c>
      <c r="L84" s="6" t="s">
        <v>556</v>
      </c>
      <c r="M84" s="6" t="s">
        <v>557</v>
      </c>
      <c r="N84" s="6" t="s">
        <v>354</v>
      </c>
      <c r="O84" s="6" t="s">
        <v>516</v>
      </c>
      <c r="P84" s="6" t="s">
        <v>558</v>
      </c>
    </row>
    <row r="85" customFormat="false" ht="14.25" hidden="false" customHeight="true" outlineLevel="0" collapsed="false">
      <c r="A85" s="6" t="s">
        <v>559</v>
      </c>
      <c r="B85" s="6" t="s">
        <v>47</v>
      </c>
      <c r="C85" s="6" t="s">
        <v>477</v>
      </c>
      <c r="D85" s="6" t="s">
        <v>548</v>
      </c>
      <c r="E85" s="6" t="s">
        <v>560</v>
      </c>
      <c r="F85" s="6" t="s">
        <v>55</v>
      </c>
      <c r="G85" s="6" t="s">
        <v>55</v>
      </c>
      <c r="H85" s="6" t="s">
        <v>55</v>
      </c>
      <c r="I85" s="6" t="s">
        <v>55</v>
      </c>
      <c r="J85" s="7" t="s">
        <v>12</v>
      </c>
      <c r="K85" s="7" t="s">
        <v>90</v>
      </c>
      <c r="L85" s="6" t="s">
        <v>561</v>
      </c>
      <c r="M85" s="6" t="s">
        <v>562</v>
      </c>
      <c r="N85" s="6" t="s">
        <v>434</v>
      </c>
      <c r="O85" s="6" t="s">
        <v>516</v>
      </c>
      <c r="P85" s="6" t="s">
        <v>563</v>
      </c>
    </row>
    <row r="86" customFormat="false" ht="14.25" hidden="false" customHeight="true" outlineLevel="0" collapsed="false">
      <c r="A86" s="6" t="s">
        <v>564</v>
      </c>
      <c r="B86" s="6" t="s">
        <v>47</v>
      </c>
      <c r="C86" s="6" t="s">
        <v>477</v>
      </c>
      <c r="D86" s="6" t="s">
        <v>565</v>
      </c>
      <c r="E86" s="6" t="s">
        <v>566</v>
      </c>
      <c r="F86" s="6" t="s">
        <v>55</v>
      </c>
      <c r="G86" s="6" t="s">
        <v>55</v>
      </c>
      <c r="H86" s="6" t="s">
        <v>55</v>
      </c>
      <c r="I86" s="6" t="s">
        <v>55</v>
      </c>
      <c r="J86" s="7" t="s">
        <v>12</v>
      </c>
      <c r="K86" s="7" t="s">
        <v>305</v>
      </c>
      <c r="L86" s="6" t="s">
        <v>567</v>
      </c>
      <c r="M86" s="6" t="s">
        <v>568</v>
      </c>
      <c r="N86" s="6" t="s">
        <v>569</v>
      </c>
      <c r="O86" s="6" t="s">
        <v>570</v>
      </c>
      <c r="P86" s="6" t="s">
        <v>571</v>
      </c>
    </row>
    <row r="87" customFormat="false" ht="14.25" hidden="true" customHeight="true" outlineLevel="0" collapsed="false">
      <c r="A87" s="6" t="s">
        <v>572</v>
      </c>
      <c r="B87" s="6" t="s">
        <v>47</v>
      </c>
      <c r="C87" s="6" t="s">
        <v>477</v>
      </c>
      <c r="D87" s="6" t="s">
        <v>565</v>
      </c>
      <c r="E87" s="6" t="s">
        <v>573</v>
      </c>
      <c r="F87" s="6" t="s">
        <v>55</v>
      </c>
      <c r="G87" s="6" t="s">
        <v>55</v>
      </c>
      <c r="H87" s="6" t="s">
        <v>55</v>
      </c>
      <c r="I87" s="6" t="s">
        <v>55</v>
      </c>
      <c r="J87" s="7" t="s">
        <v>21</v>
      </c>
      <c r="K87" s="7" t="s">
        <v>55</v>
      </c>
      <c r="L87" s="6" t="s">
        <v>55</v>
      </c>
      <c r="M87" s="6" t="s">
        <v>55</v>
      </c>
      <c r="N87" s="6" t="s">
        <v>574</v>
      </c>
      <c r="O87" s="6" t="s">
        <v>545</v>
      </c>
      <c r="P87" s="6" t="s">
        <v>575</v>
      </c>
    </row>
    <row r="88" customFormat="false" ht="14.25" hidden="true" customHeight="true" outlineLevel="0" collapsed="false">
      <c r="A88" s="6" t="s">
        <v>576</v>
      </c>
      <c r="B88" s="6" t="s">
        <v>47</v>
      </c>
      <c r="C88" s="6" t="s">
        <v>477</v>
      </c>
      <c r="D88" s="6" t="s">
        <v>565</v>
      </c>
      <c r="E88" s="6" t="s">
        <v>577</v>
      </c>
      <c r="F88" s="6" t="s">
        <v>55</v>
      </c>
      <c r="G88" s="6" t="s">
        <v>55</v>
      </c>
      <c r="H88" s="6" t="s">
        <v>55</v>
      </c>
      <c r="I88" s="6" t="s">
        <v>55</v>
      </c>
      <c r="J88" s="7" t="s">
        <v>15</v>
      </c>
      <c r="K88" s="7" t="s">
        <v>506</v>
      </c>
      <c r="L88" s="6" t="s">
        <v>578</v>
      </c>
      <c r="M88" s="6" t="s">
        <v>55</v>
      </c>
      <c r="N88" s="6" t="s">
        <v>579</v>
      </c>
      <c r="O88" s="6" t="s">
        <v>580</v>
      </c>
      <c r="P88" s="6" t="s">
        <v>581</v>
      </c>
    </row>
    <row r="89" customFormat="false" ht="14.25" hidden="false" customHeight="true" outlineLevel="0" collapsed="false">
      <c r="A89" s="6" t="s">
        <v>582</v>
      </c>
      <c r="B89" s="6" t="s">
        <v>47</v>
      </c>
      <c r="C89" s="6" t="s">
        <v>477</v>
      </c>
      <c r="D89" s="6" t="s">
        <v>565</v>
      </c>
      <c r="E89" s="6" t="s">
        <v>583</v>
      </c>
      <c r="F89" s="6" t="s">
        <v>55</v>
      </c>
      <c r="G89" s="6" t="s">
        <v>55</v>
      </c>
      <c r="H89" s="6" t="s">
        <v>55</v>
      </c>
      <c r="I89" s="6" t="s">
        <v>55</v>
      </c>
      <c r="J89" s="7" t="s">
        <v>12</v>
      </c>
      <c r="K89" s="7" t="s">
        <v>188</v>
      </c>
      <c r="L89" s="6" t="s">
        <v>584</v>
      </c>
      <c r="M89" s="6" t="s">
        <v>585</v>
      </c>
      <c r="N89" s="6" t="s">
        <v>586</v>
      </c>
      <c r="O89" s="6" t="s">
        <v>516</v>
      </c>
      <c r="P89" s="6" t="s">
        <v>587</v>
      </c>
    </row>
    <row r="90" customFormat="false" ht="14.25" hidden="false" customHeight="true" outlineLevel="0" collapsed="false">
      <c r="A90" s="6" t="s">
        <v>588</v>
      </c>
      <c r="B90" s="6" t="s">
        <v>47</v>
      </c>
      <c r="C90" s="6" t="s">
        <v>477</v>
      </c>
      <c r="D90" s="6" t="s">
        <v>565</v>
      </c>
      <c r="E90" s="6" t="s">
        <v>589</v>
      </c>
      <c r="F90" s="6" t="s">
        <v>55</v>
      </c>
      <c r="G90" s="6" t="s">
        <v>55</v>
      </c>
      <c r="H90" s="6" t="s">
        <v>55</v>
      </c>
      <c r="I90" s="6" t="s">
        <v>55</v>
      </c>
      <c r="J90" s="7" t="s">
        <v>12</v>
      </c>
      <c r="K90" s="7" t="s">
        <v>188</v>
      </c>
      <c r="L90" s="6" t="s">
        <v>590</v>
      </c>
      <c r="M90" s="6" t="s">
        <v>591</v>
      </c>
      <c r="N90" s="6" t="s">
        <v>592</v>
      </c>
      <c r="O90" s="6" t="s">
        <v>516</v>
      </c>
      <c r="P90" s="6" t="s">
        <v>593</v>
      </c>
    </row>
    <row r="91" customFormat="false" ht="14.25" hidden="true" customHeight="true" outlineLevel="0" collapsed="false">
      <c r="A91" s="6" t="s">
        <v>594</v>
      </c>
      <c r="B91" s="6" t="s">
        <v>47</v>
      </c>
      <c r="C91" s="6" t="s">
        <v>595</v>
      </c>
      <c r="D91" s="6" t="s">
        <v>596</v>
      </c>
      <c r="E91" s="6" t="s">
        <v>597</v>
      </c>
      <c r="F91" s="6" t="s">
        <v>55</v>
      </c>
      <c r="G91" s="6" t="s">
        <v>55</v>
      </c>
      <c r="H91" s="6" t="s">
        <v>55</v>
      </c>
      <c r="I91" s="6" t="s">
        <v>55</v>
      </c>
      <c r="J91" s="7" t="s">
        <v>21</v>
      </c>
      <c r="K91" s="7" t="s">
        <v>55</v>
      </c>
      <c r="L91" s="6" t="s">
        <v>55</v>
      </c>
      <c r="M91" s="6" t="s">
        <v>55</v>
      </c>
      <c r="N91" s="6" t="s">
        <v>55</v>
      </c>
      <c r="O91" s="6" t="s">
        <v>598</v>
      </c>
      <c r="P91" s="6" t="s">
        <v>599</v>
      </c>
    </row>
    <row r="92" customFormat="false" ht="14.25" hidden="true" customHeight="true" outlineLevel="0" collapsed="false">
      <c r="A92" s="6" t="s">
        <v>600</v>
      </c>
      <c r="B92" s="6" t="s">
        <v>47</v>
      </c>
      <c r="C92" s="6" t="s">
        <v>595</v>
      </c>
      <c r="D92" s="6" t="s">
        <v>596</v>
      </c>
      <c r="E92" s="6" t="s">
        <v>601</v>
      </c>
      <c r="F92" s="6" t="s">
        <v>55</v>
      </c>
      <c r="G92" s="6" t="s">
        <v>55</v>
      </c>
      <c r="H92" s="6" t="s">
        <v>55</v>
      </c>
      <c r="I92" s="6" t="s">
        <v>55</v>
      </c>
      <c r="J92" s="7" t="s">
        <v>21</v>
      </c>
      <c r="K92" s="7" t="s">
        <v>55</v>
      </c>
      <c r="L92" s="6" t="s">
        <v>55</v>
      </c>
      <c r="M92" s="6" t="s">
        <v>55</v>
      </c>
      <c r="N92" s="6" t="s">
        <v>55</v>
      </c>
      <c r="O92" s="6" t="s">
        <v>516</v>
      </c>
      <c r="P92" s="6" t="s">
        <v>602</v>
      </c>
    </row>
    <row r="93" customFormat="false" ht="14.25" hidden="true" customHeight="true" outlineLevel="0" collapsed="false">
      <c r="A93" s="6" t="s">
        <v>603</v>
      </c>
      <c r="B93" s="6" t="s">
        <v>47</v>
      </c>
      <c r="C93" s="6" t="s">
        <v>595</v>
      </c>
      <c r="D93" s="6" t="s">
        <v>604</v>
      </c>
      <c r="E93" s="6" t="s">
        <v>605</v>
      </c>
      <c r="F93" s="6" t="s">
        <v>55</v>
      </c>
      <c r="G93" s="6" t="s">
        <v>55</v>
      </c>
      <c r="H93" s="6" t="s">
        <v>55</v>
      </c>
      <c r="I93" s="6" t="s">
        <v>55</v>
      </c>
      <c r="J93" s="7" t="s">
        <v>21</v>
      </c>
      <c r="K93" s="7" t="s">
        <v>55</v>
      </c>
      <c r="L93" s="6" t="s">
        <v>55</v>
      </c>
      <c r="M93" s="6" t="s">
        <v>55</v>
      </c>
      <c r="N93" s="6" t="s">
        <v>55</v>
      </c>
      <c r="O93" s="6" t="s">
        <v>606</v>
      </c>
      <c r="P93" s="6" t="s">
        <v>607</v>
      </c>
    </row>
    <row r="94" customFormat="false" ht="14.25" hidden="true" customHeight="true" outlineLevel="0" collapsed="false">
      <c r="A94" s="6" t="s">
        <v>608</v>
      </c>
      <c r="B94" s="6" t="s">
        <v>47</v>
      </c>
      <c r="C94" s="6" t="s">
        <v>595</v>
      </c>
      <c r="D94" s="6" t="s">
        <v>604</v>
      </c>
      <c r="E94" s="6" t="s">
        <v>609</v>
      </c>
      <c r="F94" s="6" t="s">
        <v>55</v>
      </c>
      <c r="G94" s="6" t="s">
        <v>55</v>
      </c>
      <c r="H94" s="6" t="s">
        <v>55</v>
      </c>
      <c r="I94" s="6" t="s">
        <v>55</v>
      </c>
      <c r="J94" s="7" t="s">
        <v>21</v>
      </c>
      <c r="K94" s="7" t="s">
        <v>55</v>
      </c>
      <c r="L94" s="6" t="s">
        <v>55</v>
      </c>
      <c r="M94" s="6" t="s">
        <v>55</v>
      </c>
      <c r="N94" s="6" t="s">
        <v>55</v>
      </c>
      <c r="O94" s="6" t="s">
        <v>610</v>
      </c>
      <c r="P94" s="6" t="s">
        <v>607</v>
      </c>
    </row>
    <row r="95" customFormat="false" ht="14.25" hidden="true" customHeight="true" outlineLevel="0" collapsed="false">
      <c r="A95" s="6" t="s">
        <v>611</v>
      </c>
      <c r="B95" s="6" t="s">
        <v>47</v>
      </c>
      <c r="C95" s="6" t="s">
        <v>595</v>
      </c>
      <c r="D95" s="6" t="s">
        <v>604</v>
      </c>
      <c r="E95" s="6" t="s">
        <v>612</v>
      </c>
      <c r="F95" s="6" t="s">
        <v>55</v>
      </c>
      <c r="G95" s="6" t="s">
        <v>55</v>
      </c>
      <c r="H95" s="6" t="s">
        <v>55</v>
      </c>
      <c r="I95" s="6" t="s">
        <v>55</v>
      </c>
      <c r="J95" s="7" t="s">
        <v>21</v>
      </c>
      <c r="K95" s="7" t="s">
        <v>55</v>
      </c>
      <c r="L95" s="6" t="s">
        <v>55</v>
      </c>
      <c r="M95" s="6" t="s">
        <v>55</v>
      </c>
      <c r="N95" s="6" t="s">
        <v>55</v>
      </c>
      <c r="O95" s="6" t="s">
        <v>613</v>
      </c>
      <c r="P95" s="6" t="s">
        <v>614</v>
      </c>
    </row>
    <row r="96" customFormat="false" ht="14.25" hidden="true" customHeight="true" outlineLevel="0" collapsed="false">
      <c r="A96" s="6" t="s">
        <v>615</v>
      </c>
      <c r="B96" s="6" t="s">
        <v>47</v>
      </c>
      <c r="C96" s="6" t="s">
        <v>595</v>
      </c>
      <c r="D96" s="6" t="s">
        <v>604</v>
      </c>
      <c r="E96" s="6" t="s">
        <v>616</v>
      </c>
      <c r="F96" s="6" t="s">
        <v>55</v>
      </c>
      <c r="G96" s="6" t="s">
        <v>55</v>
      </c>
      <c r="H96" s="6" t="s">
        <v>55</v>
      </c>
      <c r="I96" s="6" t="s">
        <v>55</v>
      </c>
      <c r="J96" s="7" t="s">
        <v>21</v>
      </c>
      <c r="K96" s="7" t="s">
        <v>55</v>
      </c>
      <c r="L96" s="6" t="s">
        <v>55</v>
      </c>
      <c r="M96" s="6" t="s">
        <v>55</v>
      </c>
      <c r="N96" s="6" t="s">
        <v>55</v>
      </c>
      <c r="O96" s="6" t="s">
        <v>617</v>
      </c>
      <c r="P96" s="6" t="s">
        <v>55</v>
      </c>
    </row>
    <row r="97" customFormat="false" ht="14.25" hidden="true" customHeight="true" outlineLevel="0" collapsed="false">
      <c r="A97" s="6" t="s">
        <v>618</v>
      </c>
      <c r="B97" s="6" t="s">
        <v>47</v>
      </c>
      <c r="C97" s="6" t="s">
        <v>595</v>
      </c>
      <c r="D97" s="6" t="s">
        <v>619</v>
      </c>
      <c r="E97" s="6" t="s">
        <v>620</v>
      </c>
      <c r="F97" s="6" t="s">
        <v>55</v>
      </c>
      <c r="G97" s="6" t="s">
        <v>55</v>
      </c>
      <c r="H97" s="6" t="s">
        <v>55</v>
      </c>
      <c r="I97" s="6" t="s">
        <v>55</v>
      </c>
      <c r="J97" s="7" t="s">
        <v>21</v>
      </c>
      <c r="K97" s="7" t="s">
        <v>55</v>
      </c>
      <c r="L97" s="6" t="s">
        <v>55</v>
      </c>
      <c r="M97" s="6" t="s">
        <v>55</v>
      </c>
      <c r="N97" s="6" t="s">
        <v>574</v>
      </c>
      <c r="O97" s="6" t="s">
        <v>55</v>
      </c>
      <c r="P97" s="6" t="s">
        <v>621</v>
      </c>
    </row>
    <row r="98" customFormat="false" ht="14.25" hidden="true" customHeight="true" outlineLevel="0" collapsed="false">
      <c r="A98" s="6" t="s">
        <v>622</v>
      </c>
      <c r="B98" s="6" t="s">
        <v>47</v>
      </c>
      <c r="C98" s="6" t="s">
        <v>595</v>
      </c>
      <c r="D98" s="6" t="s">
        <v>619</v>
      </c>
      <c r="E98" s="6" t="s">
        <v>623</v>
      </c>
      <c r="F98" s="6" t="s">
        <v>55</v>
      </c>
      <c r="G98" s="6" t="s">
        <v>55</v>
      </c>
      <c r="H98" s="6" t="s">
        <v>55</v>
      </c>
      <c r="I98" s="6" t="s">
        <v>55</v>
      </c>
      <c r="J98" s="7" t="s">
        <v>21</v>
      </c>
      <c r="K98" s="7" t="s">
        <v>55</v>
      </c>
      <c r="L98" s="6" t="s">
        <v>55</v>
      </c>
      <c r="M98" s="6" t="s">
        <v>55</v>
      </c>
      <c r="N98" s="6" t="s">
        <v>55</v>
      </c>
      <c r="O98" s="6" t="s">
        <v>624</v>
      </c>
      <c r="P98" s="6" t="s">
        <v>625</v>
      </c>
    </row>
    <row r="99" customFormat="false" ht="14.25" hidden="true" customHeight="true" outlineLevel="0" collapsed="false">
      <c r="A99" s="6" t="s">
        <v>626</v>
      </c>
      <c r="B99" s="6" t="s">
        <v>47</v>
      </c>
      <c r="C99" s="6" t="s">
        <v>595</v>
      </c>
      <c r="D99" s="6" t="s">
        <v>619</v>
      </c>
      <c r="E99" s="6" t="s">
        <v>627</v>
      </c>
      <c r="F99" s="6" t="s">
        <v>55</v>
      </c>
      <c r="G99" s="6" t="s">
        <v>55</v>
      </c>
      <c r="H99" s="6" t="s">
        <v>55</v>
      </c>
      <c r="I99" s="6" t="s">
        <v>55</v>
      </c>
      <c r="J99" s="7" t="s">
        <v>21</v>
      </c>
      <c r="K99" s="7" t="s">
        <v>55</v>
      </c>
      <c r="L99" s="6" t="s">
        <v>55</v>
      </c>
      <c r="M99" s="6" t="s">
        <v>55</v>
      </c>
      <c r="N99" s="6" t="s">
        <v>55</v>
      </c>
      <c r="O99" s="6" t="s">
        <v>628</v>
      </c>
      <c r="P99" s="6" t="s">
        <v>629</v>
      </c>
    </row>
    <row r="100" customFormat="false" ht="14.25" hidden="true" customHeight="true" outlineLevel="0" collapsed="false">
      <c r="A100" s="6" t="s">
        <v>630</v>
      </c>
      <c r="B100" s="6" t="s">
        <v>47</v>
      </c>
      <c r="C100" s="6" t="s">
        <v>595</v>
      </c>
      <c r="D100" s="6" t="s">
        <v>619</v>
      </c>
      <c r="E100" s="6" t="s">
        <v>631</v>
      </c>
      <c r="F100" s="6" t="s">
        <v>55</v>
      </c>
      <c r="G100" s="6" t="s">
        <v>55</v>
      </c>
      <c r="H100" s="6" t="s">
        <v>55</v>
      </c>
      <c r="I100" s="6" t="s">
        <v>55</v>
      </c>
      <c r="J100" s="7" t="s">
        <v>21</v>
      </c>
      <c r="K100" s="7" t="s">
        <v>55</v>
      </c>
      <c r="L100" s="6" t="s">
        <v>55</v>
      </c>
      <c r="M100" s="6" t="s">
        <v>55</v>
      </c>
      <c r="N100" s="6" t="s">
        <v>55</v>
      </c>
      <c r="O100" s="6" t="s">
        <v>632</v>
      </c>
      <c r="P100" s="6" t="s">
        <v>55</v>
      </c>
    </row>
    <row r="101" customFormat="false" ht="14.25" hidden="true" customHeight="true" outlineLevel="0" collapsed="false">
      <c r="A101" s="6" t="s">
        <v>633</v>
      </c>
      <c r="B101" s="6" t="s">
        <v>47</v>
      </c>
      <c r="C101" s="6" t="s">
        <v>595</v>
      </c>
      <c r="D101" s="6" t="s">
        <v>634</v>
      </c>
      <c r="E101" s="6" t="s">
        <v>635</v>
      </c>
      <c r="F101" s="6" t="s">
        <v>55</v>
      </c>
      <c r="G101" s="6" t="s">
        <v>55</v>
      </c>
      <c r="H101" s="6" t="s">
        <v>55</v>
      </c>
      <c r="I101" s="6" t="s">
        <v>55</v>
      </c>
      <c r="J101" s="7" t="s">
        <v>21</v>
      </c>
      <c r="K101" s="7" t="s">
        <v>55</v>
      </c>
      <c r="L101" s="6" t="s">
        <v>55</v>
      </c>
      <c r="M101" s="6" t="s">
        <v>55</v>
      </c>
      <c r="N101" s="6" t="s">
        <v>55</v>
      </c>
      <c r="O101" s="6" t="s">
        <v>516</v>
      </c>
      <c r="P101" s="6" t="s">
        <v>356</v>
      </c>
    </row>
    <row r="102" customFormat="false" ht="14.25" hidden="true" customHeight="true" outlineLevel="0" collapsed="false">
      <c r="A102" s="6" t="s">
        <v>636</v>
      </c>
      <c r="B102" s="6" t="s">
        <v>47</v>
      </c>
      <c r="C102" s="6" t="s">
        <v>595</v>
      </c>
      <c r="D102" s="6" t="s">
        <v>637</v>
      </c>
      <c r="E102" s="6" t="s">
        <v>638</v>
      </c>
      <c r="F102" s="6" t="s">
        <v>55</v>
      </c>
      <c r="G102" s="6" t="s">
        <v>55</v>
      </c>
      <c r="H102" s="6" t="s">
        <v>55</v>
      </c>
      <c r="I102" s="6" t="s">
        <v>55</v>
      </c>
      <c r="J102" s="7" t="s">
        <v>21</v>
      </c>
      <c r="K102" s="7" t="s">
        <v>55</v>
      </c>
      <c r="L102" s="6" t="s">
        <v>55</v>
      </c>
      <c r="M102" s="6" t="s">
        <v>55</v>
      </c>
      <c r="N102" s="6" t="s">
        <v>55</v>
      </c>
      <c r="O102" s="6" t="s">
        <v>516</v>
      </c>
      <c r="P102" s="6" t="s">
        <v>639</v>
      </c>
    </row>
    <row r="103" customFormat="false" ht="14.25" hidden="true" customHeight="true" outlineLevel="0" collapsed="false">
      <c r="A103" s="6" t="s">
        <v>640</v>
      </c>
      <c r="B103" s="6" t="s">
        <v>47</v>
      </c>
      <c r="C103" s="6" t="s">
        <v>641</v>
      </c>
      <c r="D103" s="6" t="s">
        <v>642</v>
      </c>
      <c r="E103" s="6" t="s">
        <v>643</v>
      </c>
      <c r="F103" s="6" t="s">
        <v>644</v>
      </c>
      <c r="G103" s="6" t="s">
        <v>645</v>
      </c>
      <c r="H103" s="6" t="s">
        <v>646</v>
      </c>
      <c r="I103" s="6" t="s">
        <v>54</v>
      </c>
      <c r="J103" s="7" t="s">
        <v>9</v>
      </c>
      <c r="K103" s="7" t="s">
        <v>55</v>
      </c>
      <c r="L103" s="6" t="s">
        <v>55</v>
      </c>
      <c r="M103" s="6" t="s">
        <v>647</v>
      </c>
      <c r="N103" s="6" t="s">
        <v>648</v>
      </c>
      <c r="O103" s="6" t="s">
        <v>649</v>
      </c>
      <c r="P103" s="6" t="s">
        <v>650</v>
      </c>
    </row>
    <row r="104" customFormat="false" ht="14.25" hidden="true" customHeight="true" outlineLevel="0" collapsed="false">
      <c r="A104" s="6" t="s">
        <v>651</v>
      </c>
      <c r="B104" s="6" t="s">
        <v>47</v>
      </c>
      <c r="C104" s="6" t="s">
        <v>641</v>
      </c>
      <c r="D104" s="6" t="s">
        <v>642</v>
      </c>
      <c r="E104" s="6" t="s">
        <v>652</v>
      </c>
      <c r="F104" s="6" t="s">
        <v>644</v>
      </c>
      <c r="G104" s="6" t="s">
        <v>645</v>
      </c>
      <c r="H104" s="6" t="s">
        <v>646</v>
      </c>
      <c r="I104" s="6" t="s">
        <v>54</v>
      </c>
      <c r="J104" s="7" t="s">
        <v>9</v>
      </c>
      <c r="K104" s="7" t="s">
        <v>55</v>
      </c>
      <c r="L104" s="6" t="s">
        <v>55</v>
      </c>
      <c r="M104" s="6" t="s">
        <v>653</v>
      </c>
      <c r="N104" s="6" t="s">
        <v>55</v>
      </c>
      <c r="O104" s="6" t="s">
        <v>654</v>
      </c>
      <c r="P104" s="6" t="s">
        <v>655</v>
      </c>
    </row>
    <row r="105" customFormat="false" ht="14.25" hidden="true" customHeight="true" outlineLevel="0" collapsed="false">
      <c r="A105" s="6" t="s">
        <v>656</v>
      </c>
      <c r="B105" s="6" t="s">
        <v>47</v>
      </c>
      <c r="C105" s="6" t="s">
        <v>641</v>
      </c>
      <c r="D105" s="6" t="s">
        <v>642</v>
      </c>
      <c r="E105" s="6" t="s">
        <v>657</v>
      </c>
      <c r="F105" s="6" t="s">
        <v>644</v>
      </c>
      <c r="G105" s="6" t="s">
        <v>645</v>
      </c>
      <c r="H105" s="6" t="s">
        <v>646</v>
      </c>
      <c r="I105" s="6" t="s">
        <v>54</v>
      </c>
      <c r="J105" s="7" t="s">
        <v>9</v>
      </c>
      <c r="K105" s="7" t="s">
        <v>55</v>
      </c>
      <c r="L105" s="6" t="s">
        <v>55</v>
      </c>
      <c r="M105" s="6" t="s">
        <v>658</v>
      </c>
      <c r="N105" s="6" t="s">
        <v>55</v>
      </c>
      <c r="O105" s="6" t="s">
        <v>659</v>
      </c>
      <c r="P105" s="6" t="s">
        <v>660</v>
      </c>
    </row>
    <row r="106" customFormat="false" ht="14.25" hidden="true" customHeight="true" outlineLevel="0" collapsed="false">
      <c r="A106" s="6" t="s">
        <v>661</v>
      </c>
      <c r="B106" s="6" t="s">
        <v>47</v>
      </c>
      <c r="C106" s="6" t="s">
        <v>641</v>
      </c>
      <c r="D106" s="6" t="s">
        <v>642</v>
      </c>
      <c r="E106" s="6" t="s">
        <v>662</v>
      </c>
      <c r="F106" s="6" t="s">
        <v>644</v>
      </c>
      <c r="G106" s="6" t="s">
        <v>645</v>
      </c>
      <c r="H106" s="6" t="s">
        <v>646</v>
      </c>
      <c r="I106" s="6" t="s">
        <v>54</v>
      </c>
      <c r="J106" s="7" t="s">
        <v>9</v>
      </c>
      <c r="K106" s="7" t="s">
        <v>55</v>
      </c>
      <c r="L106" s="6" t="s">
        <v>55</v>
      </c>
      <c r="M106" s="6" t="s">
        <v>663</v>
      </c>
      <c r="N106" s="6" t="s">
        <v>664</v>
      </c>
      <c r="O106" s="6" t="s">
        <v>665</v>
      </c>
      <c r="P106" s="6" t="s">
        <v>666</v>
      </c>
    </row>
    <row r="107" customFormat="false" ht="14.25" hidden="true" customHeight="true" outlineLevel="0" collapsed="false">
      <c r="A107" s="6" t="s">
        <v>667</v>
      </c>
      <c r="B107" s="6" t="s">
        <v>47</v>
      </c>
      <c r="C107" s="6" t="s">
        <v>641</v>
      </c>
      <c r="D107" s="6" t="s">
        <v>642</v>
      </c>
      <c r="E107" s="6" t="s">
        <v>668</v>
      </c>
      <c r="F107" s="6" t="s">
        <v>644</v>
      </c>
      <c r="G107" s="6" t="s">
        <v>645</v>
      </c>
      <c r="H107" s="6" t="s">
        <v>646</v>
      </c>
      <c r="I107" s="6" t="s">
        <v>54</v>
      </c>
      <c r="J107" s="7" t="s">
        <v>9</v>
      </c>
      <c r="K107" s="7" t="s">
        <v>55</v>
      </c>
      <c r="L107" s="6" t="s">
        <v>55</v>
      </c>
      <c r="M107" s="6" t="s">
        <v>669</v>
      </c>
      <c r="N107" s="6" t="s">
        <v>55</v>
      </c>
      <c r="O107" s="6" t="s">
        <v>670</v>
      </c>
      <c r="P107" s="6" t="s">
        <v>671</v>
      </c>
    </row>
    <row r="108" customFormat="false" ht="14.25" hidden="true" customHeight="true" outlineLevel="0" collapsed="false">
      <c r="A108" s="6" t="s">
        <v>672</v>
      </c>
      <c r="B108" s="6" t="s">
        <v>47</v>
      </c>
      <c r="C108" s="6" t="s">
        <v>641</v>
      </c>
      <c r="D108" s="6" t="s">
        <v>642</v>
      </c>
      <c r="E108" s="6" t="s">
        <v>673</v>
      </c>
      <c r="F108" s="6" t="s">
        <v>644</v>
      </c>
      <c r="G108" s="6" t="s">
        <v>645</v>
      </c>
      <c r="H108" s="6" t="s">
        <v>646</v>
      </c>
      <c r="I108" s="6" t="s">
        <v>54</v>
      </c>
      <c r="J108" s="7" t="s">
        <v>9</v>
      </c>
      <c r="K108" s="7" t="s">
        <v>55</v>
      </c>
      <c r="L108" s="6" t="s">
        <v>55</v>
      </c>
      <c r="M108" s="6" t="s">
        <v>674</v>
      </c>
      <c r="N108" s="6" t="s">
        <v>55</v>
      </c>
      <c r="O108" s="6" t="s">
        <v>675</v>
      </c>
      <c r="P108" s="6" t="s">
        <v>676</v>
      </c>
    </row>
    <row r="109" customFormat="false" ht="14.25" hidden="true" customHeight="true" outlineLevel="0" collapsed="false">
      <c r="A109" s="6" t="s">
        <v>677</v>
      </c>
      <c r="B109" s="6" t="s">
        <v>47</v>
      </c>
      <c r="C109" s="6" t="s">
        <v>641</v>
      </c>
      <c r="D109" s="6" t="s">
        <v>642</v>
      </c>
      <c r="E109" s="6" t="s">
        <v>678</v>
      </c>
      <c r="F109" s="6" t="s">
        <v>644</v>
      </c>
      <c r="G109" s="6" t="s">
        <v>645</v>
      </c>
      <c r="H109" s="6" t="s">
        <v>646</v>
      </c>
      <c r="I109" s="6" t="s">
        <v>54</v>
      </c>
      <c r="J109" s="7" t="s">
        <v>9</v>
      </c>
      <c r="K109" s="7" t="s">
        <v>55</v>
      </c>
      <c r="L109" s="6" t="s">
        <v>55</v>
      </c>
      <c r="M109" s="6" t="s">
        <v>679</v>
      </c>
      <c r="N109" s="6" t="s">
        <v>55</v>
      </c>
      <c r="O109" s="6" t="s">
        <v>659</v>
      </c>
      <c r="P109" s="6" t="s">
        <v>676</v>
      </c>
    </row>
    <row r="110" customFormat="false" ht="14.25" hidden="true" customHeight="true" outlineLevel="0" collapsed="false">
      <c r="A110" s="6" t="s">
        <v>680</v>
      </c>
      <c r="B110" s="6" t="s">
        <v>47</v>
      </c>
      <c r="C110" s="6" t="s">
        <v>641</v>
      </c>
      <c r="D110" s="6" t="s">
        <v>642</v>
      </c>
      <c r="E110" s="6" t="s">
        <v>681</v>
      </c>
      <c r="F110" s="6" t="s">
        <v>644</v>
      </c>
      <c r="G110" s="6" t="s">
        <v>645</v>
      </c>
      <c r="H110" s="6" t="s">
        <v>646</v>
      </c>
      <c r="I110" s="6" t="s">
        <v>54</v>
      </c>
      <c r="J110" s="7" t="s">
        <v>9</v>
      </c>
      <c r="K110" s="7" t="s">
        <v>55</v>
      </c>
      <c r="L110" s="6" t="s">
        <v>55</v>
      </c>
      <c r="M110" s="6" t="s">
        <v>682</v>
      </c>
      <c r="N110" s="6" t="s">
        <v>55</v>
      </c>
      <c r="O110" s="6" t="s">
        <v>659</v>
      </c>
      <c r="P110" s="6" t="s">
        <v>676</v>
      </c>
    </row>
    <row r="111" customFormat="false" ht="14.25" hidden="true" customHeight="true" outlineLevel="0" collapsed="false">
      <c r="A111" s="6" t="s">
        <v>683</v>
      </c>
      <c r="B111" s="6" t="s">
        <v>47</v>
      </c>
      <c r="C111" s="6" t="s">
        <v>684</v>
      </c>
      <c r="D111" s="6" t="s">
        <v>685</v>
      </c>
      <c r="E111" s="6" t="s">
        <v>686</v>
      </c>
      <c r="F111" s="6" t="s">
        <v>55</v>
      </c>
      <c r="G111" s="6" t="s">
        <v>55</v>
      </c>
      <c r="H111" s="6" t="s">
        <v>55</v>
      </c>
      <c r="I111" s="6" t="s">
        <v>55</v>
      </c>
      <c r="J111" s="7" t="s">
        <v>21</v>
      </c>
      <c r="K111" s="7" t="s">
        <v>55</v>
      </c>
      <c r="L111" s="6" t="s">
        <v>55</v>
      </c>
      <c r="M111" s="6" t="s">
        <v>55</v>
      </c>
      <c r="N111" s="6" t="s">
        <v>55</v>
      </c>
      <c r="O111" s="6" t="s">
        <v>687</v>
      </c>
      <c r="P111" s="6" t="s">
        <v>688</v>
      </c>
    </row>
    <row r="112" customFormat="false" ht="14.25" hidden="true" customHeight="true" outlineLevel="0" collapsed="false">
      <c r="A112" s="6" t="s">
        <v>689</v>
      </c>
      <c r="B112" s="6" t="s">
        <v>47</v>
      </c>
      <c r="C112" s="6" t="s">
        <v>684</v>
      </c>
      <c r="D112" s="6" t="s">
        <v>690</v>
      </c>
      <c r="E112" s="6" t="s">
        <v>691</v>
      </c>
      <c r="F112" s="6" t="s">
        <v>55</v>
      </c>
      <c r="G112" s="6" t="s">
        <v>55</v>
      </c>
      <c r="H112" s="6" t="s">
        <v>55</v>
      </c>
      <c r="I112" s="6" t="s">
        <v>55</v>
      </c>
      <c r="J112" s="7" t="s">
        <v>21</v>
      </c>
      <c r="K112" s="7" t="s">
        <v>55</v>
      </c>
      <c r="L112" s="6" t="s">
        <v>55</v>
      </c>
      <c r="M112" s="6" t="s">
        <v>55</v>
      </c>
      <c r="N112" s="6" t="s">
        <v>55</v>
      </c>
      <c r="O112" s="6" t="s">
        <v>692</v>
      </c>
      <c r="P112" s="6" t="s">
        <v>693</v>
      </c>
    </row>
    <row r="113" customFormat="false" ht="14.25" hidden="true" customHeight="true" outlineLevel="0" collapsed="false">
      <c r="A113" s="6" t="s">
        <v>694</v>
      </c>
      <c r="B113" s="6" t="s">
        <v>47</v>
      </c>
      <c r="C113" s="6" t="s">
        <v>684</v>
      </c>
      <c r="D113" s="6" t="s">
        <v>695</v>
      </c>
      <c r="E113" s="6" t="s">
        <v>696</v>
      </c>
      <c r="F113" s="6" t="s">
        <v>55</v>
      </c>
      <c r="G113" s="6" t="s">
        <v>55</v>
      </c>
      <c r="H113" s="6" t="s">
        <v>55</v>
      </c>
      <c r="I113" s="6" t="s">
        <v>55</v>
      </c>
      <c r="J113" s="7" t="s">
        <v>21</v>
      </c>
      <c r="K113" s="7" t="s">
        <v>55</v>
      </c>
      <c r="L113" s="6" t="s">
        <v>55</v>
      </c>
      <c r="M113" s="6" t="s">
        <v>55</v>
      </c>
      <c r="N113" s="6" t="s">
        <v>55</v>
      </c>
      <c r="O113" s="6" t="s">
        <v>687</v>
      </c>
      <c r="P113" s="6" t="s">
        <v>697</v>
      </c>
    </row>
    <row r="114" customFormat="false" ht="14.25" hidden="true" customHeight="true" outlineLevel="0" collapsed="false">
      <c r="A114" s="6" t="s">
        <v>698</v>
      </c>
      <c r="B114" s="6" t="s">
        <v>47</v>
      </c>
      <c r="C114" s="6" t="s">
        <v>684</v>
      </c>
      <c r="D114" s="6" t="s">
        <v>699</v>
      </c>
      <c r="E114" s="6" t="s">
        <v>700</v>
      </c>
      <c r="F114" s="6" t="s">
        <v>55</v>
      </c>
      <c r="G114" s="6" t="s">
        <v>55</v>
      </c>
      <c r="H114" s="6" t="s">
        <v>55</v>
      </c>
      <c r="I114" s="6" t="s">
        <v>55</v>
      </c>
      <c r="J114" s="7" t="s">
        <v>21</v>
      </c>
      <c r="K114" s="7" t="s">
        <v>55</v>
      </c>
      <c r="L114" s="6" t="s">
        <v>55</v>
      </c>
      <c r="M114" s="6" t="s">
        <v>55</v>
      </c>
      <c r="N114" s="6" t="s">
        <v>55</v>
      </c>
      <c r="O114" s="6" t="s">
        <v>701</v>
      </c>
      <c r="P114" s="6" t="s">
        <v>702</v>
      </c>
    </row>
    <row r="115" customFormat="false" ht="14.25" hidden="true" customHeight="true" outlineLevel="0" collapsed="false">
      <c r="A115" s="6" t="s">
        <v>703</v>
      </c>
      <c r="B115" s="6" t="s">
        <v>47</v>
      </c>
      <c r="C115" s="6" t="s">
        <v>684</v>
      </c>
      <c r="D115" s="6" t="s">
        <v>704</v>
      </c>
      <c r="E115" s="6" t="s">
        <v>705</v>
      </c>
      <c r="F115" s="6" t="s">
        <v>55</v>
      </c>
      <c r="G115" s="6" t="s">
        <v>55</v>
      </c>
      <c r="H115" s="6" t="s">
        <v>55</v>
      </c>
      <c r="I115" s="6" t="s">
        <v>55</v>
      </c>
      <c r="J115" s="7" t="s">
        <v>21</v>
      </c>
      <c r="K115" s="7" t="s">
        <v>55</v>
      </c>
      <c r="L115" s="6" t="s">
        <v>55</v>
      </c>
      <c r="M115" s="6" t="s">
        <v>55</v>
      </c>
      <c r="N115" s="6" t="s">
        <v>55</v>
      </c>
      <c r="O115" s="6" t="s">
        <v>706</v>
      </c>
      <c r="P115" s="6" t="s">
        <v>707</v>
      </c>
    </row>
    <row r="116" customFormat="false" ht="14.25" hidden="true" customHeight="true" outlineLevel="0" collapsed="false">
      <c r="A116" s="6" t="s">
        <v>708</v>
      </c>
      <c r="B116" s="6" t="s">
        <v>47</v>
      </c>
      <c r="C116" s="6" t="s">
        <v>684</v>
      </c>
      <c r="D116" s="6" t="s">
        <v>704</v>
      </c>
      <c r="E116" s="6" t="s">
        <v>709</v>
      </c>
      <c r="F116" s="6" t="s">
        <v>55</v>
      </c>
      <c r="G116" s="6" t="s">
        <v>55</v>
      </c>
      <c r="H116" s="6" t="s">
        <v>55</v>
      </c>
      <c r="I116" s="6" t="s">
        <v>55</v>
      </c>
      <c r="J116" s="7" t="s">
        <v>21</v>
      </c>
      <c r="K116" s="7" t="s">
        <v>55</v>
      </c>
      <c r="L116" s="6" t="s">
        <v>55</v>
      </c>
      <c r="M116" s="6" t="s">
        <v>55</v>
      </c>
      <c r="N116" s="6" t="s">
        <v>55</v>
      </c>
      <c r="O116" s="6" t="s">
        <v>55</v>
      </c>
      <c r="P116" s="6" t="s">
        <v>710</v>
      </c>
    </row>
    <row r="117" customFormat="false" ht="14.25" hidden="true" customHeight="true" outlineLevel="0" collapsed="false">
      <c r="A117" s="6" t="s">
        <v>711</v>
      </c>
      <c r="B117" s="6" t="s">
        <v>47</v>
      </c>
      <c r="C117" s="6" t="s">
        <v>684</v>
      </c>
      <c r="D117" s="6" t="s">
        <v>704</v>
      </c>
      <c r="E117" s="6" t="s">
        <v>712</v>
      </c>
      <c r="F117" s="6" t="s">
        <v>55</v>
      </c>
      <c r="G117" s="6" t="s">
        <v>55</v>
      </c>
      <c r="H117" s="6" t="s">
        <v>55</v>
      </c>
      <c r="I117" s="6" t="s">
        <v>55</v>
      </c>
      <c r="J117" s="7" t="s">
        <v>21</v>
      </c>
      <c r="K117" s="7" t="s">
        <v>55</v>
      </c>
      <c r="L117" s="6" t="s">
        <v>55</v>
      </c>
      <c r="M117" s="6" t="s">
        <v>55</v>
      </c>
      <c r="N117" s="6" t="s">
        <v>55</v>
      </c>
      <c r="O117" s="6" t="s">
        <v>713</v>
      </c>
      <c r="P117" s="6" t="s">
        <v>693</v>
      </c>
    </row>
    <row r="118" customFormat="false" ht="14.25" hidden="true" customHeight="true" outlineLevel="0" collapsed="false">
      <c r="A118" s="6" t="s">
        <v>714</v>
      </c>
      <c r="B118" s="6" t="s">
        <v>47</v>
      </c>
      <c r="C118" s="6" t="s">
        <v>715</v>
      </c>
      <c r="D118" s="6" t="s">
        <v>716</v>
      </c>
      <c r="E118" s="6" t="s">
        <v>717</v>
      </c>
      <c r="F118" s="6" t="s">
        <v>55</v>
      </c>
      <c r="G118" s="6" t="s">
        <v>55</v>
      </c>
      <c r="H118" s="6" t="s">
        <v>55</v>
      </c>
      <c r="I118" s="6" t="s">
        <v>55</v>
      </c>
      <c r="J118" s="7" t="s">
        <v>15</v>
      </c>
      <c r="K118" s="7" t="s">
        <v>718</v>
      </c>
      <c r="L118" s="6" t="s">
        <v>719</v>
      </c>
      <c r="M118" s="6" t="s">
        <v>55</v>
      </c>
      <c r="N118" s="6" t="s">
        <v>55</v>
      </c>
      <c r="O118" s="6" t="s">
        <v>720</v>
      </c>
      <c r="P118" s="6" t="s">
        <v>721</v>
      </c>
    </row>
    <row r="119" customFormat="false" ht="14.25" hidden="true" customHeight="true" outlineLevel="0" collapsed="false">
      <c r="A119" s="6" t="s">
        <v>722</v>
      </c>
      <c r="B119" s="6" t="s">
        <v>47</v>
      </c>
      <c r="C119" s="6" t="s">
        <v>715</v>
      </c>
      <c r="D119" s="6" t="s">
        <v>716</v>
      </c>
      <c r="E119" s="6" t="s">
        <v>723</v>
      </c>
      <c r="F119" s="6" t="s">
        <v>55</v>
      </c>
      <c r="G119" s="6" t="s">
        <v>55</v>
      </c>
      <c r="H119" s="6" t="s">
        <v>55</v>
      </c>
      <c r="I119" s="6" t="s">
        <v>55</v>
      </c>
      <c r="J119" s="7" t="s">
        <v>21</v>
      </c>
      <c r="K119" s="7" t="s">
        <v>55</v>
      </c>
      <c r="L119" s="6" t="s">
        <v>55</v>
      </c>
      <c r="M119" s="6" t="s">
        <v>55</v>
      </c>
      <c r="N119" s="6" t="s">
        <v>55</v>
      </c>
      <c r="O119" s="6" t="s">
        <v>55</v>
      </c>
      <c r="P119" s="6" t="s">
        <v>693</v>
      </c>
    </row>
    <row r="120" customFormat="false" ht="14.25" hidden="true" customHeight="true" outlineLevel="0" collapsed="false">
      <c r="A120" s="6" t="s">
        <v>724</v>
      </c>
      <c r="B120" s="6" t="s">
        <v>47</v>
      </c>
      <c r="C120" s="6" t="s">
        <v>715</v>
      </c>
      <c r="D120" s="6" t="s">
        <v>716</v>
      </c>
      <c r="E120" s="6" t="s">
        <v>725</v>
      </c>
      <c r="F120" s="6" t="s">
        <v>55</v>
      </c>
      <c r="G120" s="6" t="s">
        <v>55</v>
      </c>
      <c r="H120" s="6" t="s">
        <v>55</v>
      </c>
      <c r="I120" s="6" t="s">
        <v>55</v>
      </c>
      <c r="J120" s="7" t="s">
        <v>21</v>
      </c>
      <c r="K120" s="7" t="s">
        <v>55</v>
      </c>
      <c r="L120" s="6" t="s">
        <v>55</v>
      </c>
      <c r="M120" s="6" t="s">
        <v>55</v>
      </c>
      <c r="N120" s="6" t="s">
        <v>55</v>
      </c>
      <c r="O120" s="6" t="s">
        <v>55</v>
      </c>
      <c r="P120" s="6" t="s">
        <v>693</v>
      </c>
    </row>
    <row r="121" customFormat="false" ht="14.25" hidden="true" customHeight="true" outlineLevel="0" collapsed="false">
      <c r="A121" s="6" t="s">
        <v>726</v>
      </c>
      <c r="B121" s="6" t="s">
        <v>47</v>
      </c>
      <c r="C121" s="6" t="s">
        <v>715</v>
      </c>
      <c r="D121" s="6" t="s">
        <v>716</v>
      </c>
      <c r="E121" s="6" t="s">
        <v>727</v>
      </c>
      <c r="F121" s="6" t="s">
        <v>55</v>
      </c>
      <c r="G121" s="6" t="s">
        <v>55</v>
      </c>
      <c r="H121" s="6" t="s">
        <v>55</v>
      </c>
      <c r="I121" s="6" t="s">
        <v>55</v>
      </c>
      <c r="J121" s="7" t="s">
        <v>21</v>
      </c>
      <c r="K121" s="7" t="s">
        <v>55</v>
      </c>
      <c r="L121" s="6" t="s">
        <v>55</v>
      </c>
      <c r="M121" s="6" t="s">
        <v>55</v>
      </c>
      <c r="N121" s="6" t="s">
        <v>55</v>
      </c>
      <c r="O121" s="6" t="s">
        <v>728</v>
      </c>
      <c r="P121" s="6" t="s">
        <v>729</v>
      </c>
    </row>
    <row r="122" customFormat="false" ht="14.25" hidden="true" customHeight="true" outlineLevel="0" collapsed="false">
      <c r="A122" s="6" t="s">
        <v>730</v>
      </c>
      <c r="B122" s="6" t="s">
        <v>47</v>
      </c>
      <c r="C122" s="6" t="s">
        <v>715</v>
      </c>
      <c r="D122" s="6" t="s">
        <v>716</v>
      </c>
      <c r="E122" s="6" t="s">
        <v>731</v>
      </c>
      <c r="F122" s="6" t="s">
        <v>55</v>
      </c>
      <c r="G122" s="6" t="s">
        <v>55</v>
      </c>
      <c r="H122" s="6" t="s">
        <v>55</v>
      </c>
      <c r="I122" s="6" t="s">
        <v>55</v>
      </c>
      <c r="J122" s="7" t="s">
        <v>21</v>
      </c>
      <c r="K122" s="7" t="s">
        <v>55</v>
      </c>
      <c r="L122" s="6" t="s">
        <v>55</v>
      </c>
      <c r="M122" s="6" t="s">
        <v>55</v>
      </c>
      <c r="N122" s="6" t="s">
        <v>55</v>
      </c>
      <c r="O122" s="6" t="s">
        <v>55</v>
      </c>
      <c r="P122" s="6" t="s">
        <v>732</v>
      </c>
    </row>
    <row r="123" customFormat="false" ht="14.25" hidden="true" customHeight="true" outlineLevel="0" collapsed="false">
      <c r="A123" s="6" t="s">
        <v>733</v>
      </c>
      <c r="B123" s="6" t="s">
        <v>47</v>
      </c>
      <c r="C123" s="6" t="s">
        <v>715</v>
      </c>
      <c r="D123" s="6" t="s">
        <v>716</v>
      </c>
      <c r="E123" s="6" t="s">
        <v>734</v>
      </c>
      <c r="F123" s="6" t="s">
        <v>55</v>
      </c>
      <c r="G123" s="6" t="s">
        <v>55</v>
      </c>
      <c r="H123" s="6" t="s">
        <v>55</v>
      </c>
      <c r="I123" s="6" t="s">
        <v>55</v>
      </c>
      <c r="J123" s="7" t="s">
        <v>21</v>
      </c>
      <c r="K123" s="7" t="s">
        <v>55</v>
      </c>
      <c r="L123" s="6" t="s">
        <v>55</v>
      </c>
      <c r="M123" s="6" t="s">
        <v>55</v>
      </c>
      <c r="N123" s="6" t="s">
        <v>55</v>
      </c>
      <c r="O123" s="6" t="s">
        <v>55</v>
      </c>
      <c r="P123" s="6" t="s">
        <v>735</v>
      </c>
    </row>
    <row r="124" customFormat="false" ht="14.25" hidden="true" customHeight="true" outlineLevel="0" collapsed="false">
      <c r="A124" s="6" t="s">
        <v>736</v>
      </c>
      <c r="B124" s="6" t="s">
        <v>47</v>
      </c>
      <c r="C124" s="6" t="s">
        <v>715</v>
      </c>
      <c r="D124" s="6" t="s">
        <v>716</v>
      </c>
      <c r="E124" s="6" t="s">
        <v>737</v>
      </c>
      <c r="F124" s="6" t="s">
        <v>55</v>
      </c>
      <c r="G124" s="6" t="s">
        <v>55</v>
      </c>
      <c r="H124" s="6" t="s">
        <v>55</v>
      </c>
      <c r="I124" s="6" t="s">
        <v>55</v>
      </c>
      <c r="J124" s="7" t="s">
        <v>21</v>
      </c>
      <c r="K124" s="7" t="s">
        <v>55</v>
      </c>
      <c r="L124" s="6" t="s">
        <v>55</v>
      </c>
      <c r="M124" s="6" t="s">
        <v>55</v>
      </c>
      <c r="N124" s="6" t="s">
        <v>55</v>
      </c>
      <c r="O124" s="6" t="s">
        <v>55</v>
      </c>
      <c r="P124" s="6" t="s">
        <v>738</v>
      </c>
    </row>
    <row r="125" customFormat="false" ht="14.25" hidden="true" customHeight="true" outlineLevel="0" collapsed="false">
      <c r="A125" s="6" t="s">
        <v>739</v>
      </c>
      <c r="B125" s="6" t="s">
        <v>47</v>
      </c>
      <c r="C125" s="6" t="s">
        <v>715</v>
      </c>
      <c r="D125" s="6" t="s">
        <v>716</v>
      </c>
      <c r="E125" s="6" t="s">
        <v>740</v>
      </c>
      <c r="F125" s="6" t="s">
        <v>55</v>
      </c>
      <c r="G125" s="6" t="s">
        <v>55</v>
      </c>
      <c r="H125" s="6" t="s">
        <v>55</v>
      </c>
      <c r="I125" s="6" t="s">
        <v>55</v>
      </c>
      <c r="J125" s="7" t="s">
        <v>21</v>
      </c>
      <c r="K125" s="7" t="s">
        <v>55</v>
      </c>
      <c r="L125" s="6" t="s">
        <v>55</v>
      </c>
      <c r="M125" s="6" t="s">
        <v>55</v>
      </c>
      <c r="N125" s="6" t="s">
        <v>55</v>
      </c>
      <c r="O125" s="6" t="s">
        <v>55</v>
      </c>
      <c r="P125" s="6" t="s">
        <v>741</v>
      </c>
    </row>
    <row r="126" customFormat="false" ht="14.25" hidden="true" customHeight="true" outlineLevel="0" collapsed="false">
      <c r="A126" s="6" t="s">
        <v>742</v>
      </c>
      <c r="B126" s="6" t="s">
        <v>47</v>
      </c>
      <c r="C126" s="6" t="s">
        <v>715</v>
      </c>
      <c r="D126" s="6" t="s">
        <v>716</v>
      </c>
      <c r="E126" s="6" t="s">
        <v>743</v>
      </c>
      <c r="F126" s="6" t="s">
        <v>55</v>
      </c>
      <c r="G126" s="6" t="s">
        <v>55</v>
      </c>
      <c r="H126" s="6" t="s">
        <v>55</v>
      </c>
      <c r="I126" s="6" t="s">
        <v>55</v>
      </c>
      <c r="J126" s="7" t="s">
        <v>21</v>
      </c>
      <c r="K126" s="7" t="s">
        <v>55</v>
      </c>
      <c r="L126" s="6" t="s">
        <v>55</v>
      </c>
      <c r="M126" s="6" t="s">
        <v>55</v>
      </c>
      <c r="N126" s="6" t="s">
        <v>55</v>
      </c>
      <c r="O126" s="6" t="s">
        <v>55</v>
      </c>
      <c r="P126" s="6" t="s">
        <v>744</v>
      </c>
    </row>
    <row r="127" customFormat="false" ht="14.25" hidden="true" customHeight="true" outlineLevel="0" collapsed="false">
      <c r="A127" s="6" t="s">
        <v>745</v>
      </c>
      <c r="B127" s="6" t="s">
        <v>47</v>
      </c>
      <c r="C127" s="6" t="s">
        <v>715</v>
      </c>
      <c r="D127" s="6" t="s">
        <v>716</v>
      </c>
      <c r="E127" s="6" t="s">
        <v>746</v>
      </c>
      <c r="F127" s="6" t="s">
        <v>55</v>
      </c>
      <c r="G127" s="6" t="s">
        <v>55</v>
      </c>
      <c r="H127" s="6" t="s">
        <v>55</v>
      </c>
      <c r="I127" s="6" t="s">
        <v>55</v>
      </c>
      <c r="J127" s="7" t="s">
        <v>21</v>
      </c>
      <c r="K127" s="7" t="s">
        <v>55</v>
      </c>
      <c r="L127" s="6" t="s">
        <v>55</v>
      </c>
      <c r="M127" s="6" t="s">
        <v>55</v>
      </c>
      <c r="N127" s="6" t="s">
        <v>55</v>
      </c>
      <c r="O127" s="6" t="s">
        <v>55</v>
      </c>
      <c r="P127" s="6" t="s">
        <v>747</v>
      </c>
    </row>
    <row r="128" customFormat="false" ht="14.25" hidden="true" customHeight="true" outlineLevel="0" collapsed="false">
      <c r="A128" s="6" t="s">
        <v>748</v>
      </c>
      <c r="B128" s="6" t="s">
        <v>47</v>
      </c>
      <c r="C128" s="6" t="s">
        <v>715</v>
      </c>
      <c r="D128" s="6" t="s">
        <v>716</v>
      </c>
      <c r="E128" s="6" t="s">
        <v>749</v>
      </c>
      <c r="F128" s="6" t="s">
        <v>55</v>
      </c>
      <c r="G128" s="6" t="s">
        <v>55</v>
      </c>
      <c r="H128" s="6" t="s">
        <v>55</v>
      </c>
      <c r="I128" s="6" t="s">
        <v>55</v>
      </c>
      <c r="J128" s="7" t="s">
        <v>21</v>
      </c>
      <c r="K128" s="7" t="s">
        <v>55</v>
      </c>
      <c r="L128" s="6" t="s">
        <v>55</v>
      </c>
      <c r="M128" s="6" t="s">
        <v>55</v>
      </c>
      <c r="N128" s="6" t="s">
        <v>55</v>
      </c>
      <c r="O128" s="6" t="s">
        <v>750</v>
      </c>
      <c r="P128" s="6" t="s">
        <v>747</v>
      </c>
    </row>
    <row r="129" customFormat="false" ht="14.25" hidden="true" customHeight="true" outlineLevel="0" collapsed="false">
      <c r="A129" s="6" t="s">
        <v>751</v>
      </c>
      <c r="B129" s="6" t="s">
        <v>47</v>
      </c>
      <c r="C129" s="6" t="s">
        <v>715</v>
      </c>
      <c r="D129" s="6" t="s">
        <v>716</v>
      </c>
      <c r="E129" s="6" t="s">
        <v>752</v>
      </c>
      <c r="F129" s="6" t="s">
        <v>55</v>
      </c>
      <c r="G129" s="6" t="s">
        <v>55</v>
      </c>
      <c r="H129" s="6" t="s">
        <v>55</v>
      </c>
      <c r="I129" s="6" t="s">
        <v>55</v>
      </c>
      <c r="J129" s="7" t="s">
        <v>21</v>
      </c>
      <c r="K129" s="7" t="s">
        <v>55</v>
      </c>
      <c r="L129" s="6" t="s">
        <v>55</v>
      </c>
      <c r="M129" s="6" t="s">
        <v>55</v>
      </c>
      <c r="N129" s="6" t="s">
        <v>55</v>
      </c>
      <c r="O129" s="6" t="s">
        <v>55</v>
      </c>
      <c r="P129" s="6" t="s">
        <v>753</v>
      </c>
    </row>
    <row r="130" customFormat="false" ht="14.25" hidden="true" customHeight="true" outlineLevel="0" collapsed="false">
      <c r="A130" s="6" t="s">
        <v>754</v>
      </c>
      <c r="B130" s="6" t="s">
        <v>47</v>
      </c>
      <c r="C130" s="6" t="s">
        <v>755</v>
      </c>
      <c r="D130" s="6" t="s">
        <v>756</v>
      </c>
      <c r="E130" s="6" t="s">
        <v>757</v>
      </c>
      <c r="F130" s="6" t="s">
        <v>55</v>
      </c>
      <c r="G130" s="6" t="s">
        <v>55</v>
      </c>
      <c r="H130" s="6" t="s">
        <v>55</v>
      </c>
      <c r="I130" s="6" t="s">
        <v>55</v>
      </c>
      <c r="J130" s="7" t="s">
        <v>21</v>
      </c>
      <c r="K130" s="7" t="s">
        <v>55</v>
      </c>
      <c r="L130" s="6" t="s">
        <v>55</v>
      </c>
      <c r="M130" s="6" t="s">
        <v>55</v>
      </c>
      <c r="N130" s="6" t="s">
        <v>55</v>
      </c>
      <c r="O130" s="6" t="s">
        <v>758</v>
      </c>
      <c r="P130" s="6" t="s">
        <v>759</v>
      </c>
    </row>
    <row r="131" customFormat="false" ht="14.25" hidden="true" customHeight="true" outlineLevel="0" collapsed="false">
      <c r="A131" s="6" t="s">
        <v>760</v>
      </c>
      <c r="B131" s="6" t="s">
        <v>47</v>
      </c>
      <c r="C131" s="6" t="s">
        <v>755</v>
      </c>
      <c r="D131" s="6" t="s">
        <v>756</v>
      </c>
      <c r="E131" s="6" t="s">
        <v>761</v>
      </c>
      <c r="F131" s="6" t="s">
        <v>55</v>
      </c>
      <c r="G131" s="6" t="s">
        <v>55</v>
      </c>
      <c r="H131" s="6" t="s">
        <v>55</v>
      </c>
      <c r="I131" s="6" t="s">
        <v>55</v>
      </c>
      <c r="J131" s="7" t="s">
        <v>21</v>
      </c>
      <c r="K131" s="7" t="s">
        <v>55</v>
      </c>
      <c r="L131" s="6" t="s">
        <v>55</v>
      </c>
      <c r="M131" s="6" t="s">
        <v>55</v>
      </c>
      <c r="N131" s="6" t="s">
        <v>55</v>
      </c>
      <c r="O131" s="6" t="s">
        <v>55</v>
      </c>
      <c r="P131" s="6" t="s">
        <v>759</v>
      </c>
    </row>
    <row r="132" customFormat="false" ht="14.25" hidden="true" customHeight="true" outlineLevel="0" collapsed="false">
      <c r="A132" s="6" t="s">
        <v>762</v>
      </c>
      <c r="B132" s="6" t="s">
        <v>47</v>
      </c>
      <c r="C132" s="6" t="s">
        <v>755</v>
      </c>
      <c r="D132" s="6" t="s">
        <v>756</v>
      </c>
      <c r="E132" s="6" t="s">
        <v>763</v>
      </c>
      <c r="F132" s="6" t="s">
        <v>55</v>
      </c>
      <c r="G132" s="6" t="s">
        <v>55</v>
      </c>
      <c r="H132" s="6" t="s">
        <v>55</v>
      </c>
      <c r="I132" s="6" t="s">
        <v>55</v>
      </c>
      <c r="J132" s="7" t="s">
        <v>21</v>
      </c>
      <c r="K132" s="7" t="s">
        <v>55</v>
      </c>
      <c r="L132" s="6" t="s">
        <v>55</v>
      </c>
      <c r="M132" s="6" t="s">
        <v>55</v>
      </c>
      <c r="N132" s="6" t="s">
        <v>55</v>
      </c>
      <c r="O132" s="6" t="s">
        <v>55</v>
      </c>
      <c r="P132" s="6" t="s">
        <v>764</v>
      </c>
    </row>
    <row r="133" customFormat="false" ht="14.25" hidden="true" customHeight="true" outlineLevel="0" collapsed="false">
      <c r="A133" s="6" t="s">
        <v>765</v>
      </c>
      <c r="B133" s="6" t="s">
        <v>47</v>
      </c>
      <c r="C133" s="6" t="s">
        <v>755</v>
      </c>
      <c r="D133" s="6" t="s">
        <v>756</v>
      </c>
      <c r="E133" s="6" t="s">
        <v>766</v>
      </c>
      <c r="F133" s="6" t="s">
        <v>55</v>
      </c>
      <c r="G133" s="6" t="s">
        <v>55</v>
      </c>
      <c r="H133" s="6" t="s">
        <v>55</v>
      </c>
      <c r="I133" s="6" t="s">
        <v>55</v>
      </c>
      <c r="J133" s="7" t="s">
        <v>21</v>
      </c>
      <c r="K133" s="7" t="s">
        <v>55</v>
      </c>
      <c r="L133" s="6" t="s">
        <v>55</v>
      </c>
      <c r="M133" s="6" t="s">
        <v>55</v>
      </c>
      <c r="N133" s="6" t="s">
        <v>55</v>
      </c>
      <c r="O133" s="6" t="s">
        <v>55</v>
      </c>
      <c r="P133" s="6" t="s">
        <v>574</v>
      </c>
    </row>
    <row r="134" customFormat="false" ht="14.25" hidden="true" customHeight="true" outlineLevel="0" collapsed="false">
      <c r="A134" s="21" t="s">
        <v>767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 customFormat="false" ht="14.25" hidden="true" customHeight="true" outlineLevel="0" collapsed="false">
      <c r="A135" s="6" t="s">
        <v>768</v>
      </c>
      <c r="B135" s="6" t="s">
        <v>769</v>
      </c>
      <c r="C135" s="6" t="s">
        <v>770</v>
      </c>
      <c r="D135" s="6" t="s">
        <v>55</v>
      </c>
      <c r="E135" s="6" t="s">
        <v>771</v>
      </c>
      <c r="F135" s="6" t="s">
        <v>772</v>
      </c>
      <c r="G135" s="6" t="s">
        <v>773</v>
      </c>
      <c r="H135" s="6" t="n">
        <v>3</v>
      </c>
      <c r="I135" s="6" t="s">
        <v>54</v>
      </c>
      <c r="J135" s="7" t="s">
        <v>24</v>
      </c>
      <c r="K135" s="7" t="s">
        <v>55</v>
      </c>
      <c r="L135" s="6" t="s">
        <v>55</v>
      </c>
      <c r="M135" s="6" t="s">
        <v>55</v>
      </c>
      <c r="N135" s="6" t="s">
        <v>55</v>
      </c>
      <c r="O135" s="6" t="s">
        <v>774</v>
      </c>
      <c r="P135" s="6" t="s">
        <v>775</v>
      </c>
    </row>
    <row r="136" customFormat="false" ht="14.25" hidden="true" customHeight="true" outlineLevel="0" collapsed="false">
      <c r="A136" s="6" t="s">
        <v>776</v>
      </c>
      <c r="B136" s="6" t="s">
        <v>769</v>
      </c>
      <c r="C136" s="6" t="s">
        <v>770</v>
      </c>
      <c r="D136" s="6" t="s">
        <v>55</v>
      </c>
      <c r="E136" s="6" t="s">
        <v>771</v>
      </c>
      <c r="F136" s="6" t="s">
        <v>777</v>
      </c>
      <c r="G136" s="6" t="s">
        <v>778</v>
      </c>
      <c r="H136" s="6" t="s">
        <v>779</v>
      </c>
      <c r="I136" s="6" t="s">
        <v>54</v>
      </c>
      <c r="J136" s="7" t="s">
        <v>24</v>
      </c>
      <c r="K136" s="7" t="s">
        <v>55</v>
      </c>
      <c r="L136" s="6" t="s">
        <v>55</v>
      </c>
      <c r="M136" s="6" t="s">
        <v>55</v>
      </c>
      <c r="N136" s="6" t="s">
        <v>55</v>
      </c>
      <c r="O136" s="6" t="s">
        <v>780</v>
      </c>
      <c r="P136" s="6" t="s">
        <v>781</v>
      </c>
    </row>
    <row r="137" customFormat="false" ht="14.25" hidden="true" customHeight="true" outlineLevel="0" collapsed="false">
      <c r="A137" s="6" t="s">
        <v>782</v>
      </c>
      <c r="B137" s="6" t="s">
        <v>769</v>
      </c>
      <c r="C137" s="6" t="s">
        <v>770</v>
      </c>
      <c r="D137" s="6" t="s">
        <v>55</v>
      </c>
      <c r="E137" s="6" t="s">
        <v>771</v>
      </c>
      <c r="F137" s="6" t="s">
        <v>783</v>
      </c>
      <c r="G137" s="6" t="s">
        <v>784</v>
      </c>
      <c r="H137" s="6" t="n">
        <v>2</v>
      </c>
      <c r="I137" s="6" t="s">
        <v>54</v>
      </c>
      <c r="J137" s="7" t="s">
        <v>24</v>
      </c>
      <c r="K137" s="7" t="s">
        <v>55</v>
      </c>
      <c r="L137" s="6" t="s">
        <v>55</v>
      </c>
      <c r="M137" s="6" t="s">
        <v>55</v>
      </c>
      <c r="N137" s="6" t="s">
        <v>55</v>
      </c>
      <c r="O137" s="6" t="s">
        <v>785</v>
      </c>
      <c r="P137" s="6" t="s">
        <v>786</v>
      </c>
    </row>
    <row r="138" customFormat="false" ht="14.25" hidden="true" customHeight="true" outlineLevel="0" collapsed="false">
      <c r="A138" s="6" t="s">
        <v>787</v>
      </c>
      <c r="B138" s="6" t="s">
        <v>769</v>
      </c>
      <c r="C138" s="6" t="s">
        <v>770</v>
      </c>
      <c r="D138" s="6" t="s">
        <v>55</v>
      </c>
      <c r="E138" s="6" t="s">
        <v>771</v>
      </c>
      <c r="F138" s="6" t="s">
        <v>330</v>
      </c>
      <c r="G138" s="6" t="s">
        <v>331</v>
      </c>
      <c r="H138" s="6" t="n">
        <v>1.5</v>
      </c>
      <c r="I138" s="6" t="s">
        <v>54</v>
      </c>
      <c r="J138" s="7" t="s">
        <v>26</v>
      </c>
      <c r="K138" s="7" t="s">
        <v>55</v>
      </c>
      <c r="L138" s="6" t="s">
        <v>55</v>
      </c>
      <c r="M138" s="6" t="s">
        <v>55</v>
      </c>
      <c r="N138" s="6" t="s">
        <v>55</v>
      </c>
      <c r="O138" s="6" t="s">
        <v>788</v>
      </c>
      <c r="P138" s="6" t="s">
        <v>789</v>
      </c>
    </row>
    <row r="139" customFormat="false" ht="14.25" hidden="true" customHeight="true" outlineLevel="0" collapsed="false">
      <c r="A139" s="6" t="s">
        <v>790</v>
      </c>
      <c r="B139" s="6" t="s">
        <v>769</v>
      </c>
      <c r="C139" s="6" t="s">
        <v>770</v>
      </c>
      <c r="D139" s="6" t="s">
        <v>55</v>
      </c>
      <c r="E139" s="6" t="s">
        <v>771</v>
      </c>
      <c r="F139" s="6" t="s">
        <v>231</v>
      </c>
      <c r="G139" s="6" t="s">
        <v>232</v>
      </c>
      <c r="H139" s="6" t="n">
        <v>1</v>
      </c>
      <c r="I139" s="6" t="s">
        <v>54</v>
      </c>
      <c r="J139" s="7" t="s">
        <v>15</v>
      </c>
      <c r="K139" s="7" t="s">
        <v>90</v>
      </c>
      <c r="L139" s="6" t="s">
        <v>791</v>
      </c>
      <c r="M139" s="6" t="s">
        <v>55</v>
      </c>
      <c r="N139" s="6" t="s">
        <v>55</v>
      </c>
      <c r="O139" s="6" t="s">
        <v>792</v>
      </c>
      <c r="P139" s="6" t="s">
        <v>793</v>
      </c>
    </row>
    <row r="140" customFormat="false" ht="14.25" hidden="true" customHeight="true" outlineLevel="0" collapsed="false">
      <c r="A140" s="6" t="s">
        <v>794</v>
      </c>
      <c r="B140" s="6" t="s">
        <v>769</v>
      </c>
      <c r="C140" s="6" t="s">
        <v>770</v>
      </c>
      <c r="D140" s="6" t="s">
        <v>55</v>
      </c>
      <c r="E140" s="6" t="s">
        <v>771</v>
      </c>
      <c r="F140" s="6" t="s">
        <v>795</v>
      </c>
      <c r="G140" s="6" t="s">
        <v>796</v>
      </c>
      <c r="H140" s="6" t="n">
        <v>3</v>
      </c>
      <c r="I140" s="6" t="s">
        <v>54</v>
      </c>
      <c r="J140" s="7" t="s">
        <v>24</v>
      </c>
      <c r="K140" s="7" t="s">
        <v>55</v>
      </c>
      <c r="L140" s="6" t="s">
        <v>55</v>
      </c>
      <c r="M140" s="6" t="s">
        <v>55</v>
      </c>
      <c r="N140" s="6" t="s">
        <v>55</v>
      </c>
      <c r="O140" s="6" t="s">
        <v>797</v>
      </c>
      <c r="P140" s="6" t="s">
        <v>798</v>
      </c>
    </row>
    <row r="141" customFormat="false" ht="14.25" hidden="true" customHeight="true" outlineLevel="0" collapsed="false">
      <c r="A141" s="6" t="s">
        <v>799</v>
      </c>
      <c r="B141" s="6" t="s">
        <v>769</v>
      </c>
      <c r="C141" s="6" t="s">
        <v>770</v>
      </c>
      <c r="D141" s="6" t="s">
        <v>55</v>
      </c>
      <c r="E141" s="6" t="s">
        <v>771</v>
      </c>
      <c r="F141" s="6" t="s">
        <v>140</v>
      </c>
      <c r="G141" s="6" t="s">
        <v>141</v>
      </c>
      <c r="H141" s="6" t="n">
        <v>18</v>
      </c>
      <c r="I141" s="6" t="s">
        <v>54</v>
      </c>
      <c r="J141" s="7" t="s">
        <v>26</v>
      </c>
      <c r="K141" s="7" t="s">
        <v>55</v>
      </c>
      <c r="L141" s="6" t="s">
        <v>55</v>
      </c>
      <c r="M141" s="6" t="s">
        <v>55</v>
      </c>
      <c r="N141" s="6" t="s">
        <v>55</v>
      </c>
      <c r="O141" s="6" t="s">
        <v>800</v>
      </c>
      <c r="P141" s="6" t="s">
        <v>801</v>
      </c>
    </row>
    <row r="142" customFormat="false" ht="14.25" hidden="true" customHeight="true" outlineLevel="0" collapsed="false">
      <c r="A142" s="6" t="s">
        <v>802</v>
      </c>
      <c r="B142" s="6" t="s">
        <v>769</v>
      </c>
      <c r="C142" s="6" t="s">
        <v>770</v>
      </c>
      <c r="D142" s="6" t="s">
        <v>55</v>
      </c>
      <c r="E142" s="6" t="s">
        <v>771</v>
      </c>
      <c r="F142" s="6" t="s">
        <v>803</v>
      </c>
      <c r="G142" s="6" t="s">
        <v>804</v>
      </c>
      <c r="H142" s="6" t="n">
        <v>7</v>
      </c>
      <c r="I142" s="6" t="s">
        <v>54</v>
      </c>
      <c r="J142" s="7" t="s">
        <v>24</v>
      </c>
      <c r="K142" s="7" t="s">
        <v>55</v>
      </c>
      <c r="L142" s="6" t="s">
        <v>55</v>
      </c>
      <c r="M142" s="6" t="s">
        <v>55</v>
      </c>
      <c r="N142" s="6" t="s">
        <v>55</v>
      </c>
      <c r="O142" s="6" t="s">
        <v>805</v>
      </c>
      <c r="P142" s="6" t="s">
        <v>806</v>
      </c>
    </row>
    <row r="143" customFormat="false" ht="14.25" hidden="true" customHeight="true" outlineLevel="0" collapsed="false">
      <c r="A143" s="6" t="s">
        <v>807</v>
      </c>
      <c r="B143" s="6" t="s">
        <v>769</v>
      </c>
      <c r="C143" s="6" t="s">
        <v>770</v>
      </c>
      <c r="D143" s="6" t="s">
        <v>55</v>
      </c>
      <c r="E143" s="6" t="s">
        <v>771</v>
      </c>
      <c r="F143" s="6" t="s">
        <v>808</v>
      </c>
      <c r="G143" s="6" t="s">
        <v>809</v>
      </c>
      <c r="H143" s="6" t="n">
        <v>7</v>
      </c>
      <c r="I143" s="6" t="s">
        <v>54</v>
      </c>
      <c r="J143" s="7" t="s">
        <v>24</v>
      </c>
      <c r="K143" s="7" t="s">
        <v>55</v>
      </c>
      <c r="L143" s="6" t="s">
        <v>55</v>
      </c>
      <c r="M143" s="6" t="s">
        <v>55</v>
      </c>
      <c r="N143" s="6" t="s">
        <v>55</v>
      </c>
      <c r="O143" s="6" t="s">
        <v>810</v>
      </c>
      <c r="P143" s="6" t="s">
        <v>811</v>
      </c>
    </row>
    <row r="144" customFormat="false" ht="14.25" hidden="true" customHeight="true" outlineLevel="0" collapsed="false">
      <c r="A144" s="6" t="s">
        <v>812</v>
      </c>
      <c r="B144" s="6" t="s">
        <v>769</v>
      </c>
      <c r="C144" s="6" t="s">
        <v>770</v>
      </c>
      <c r="D144" s="6" t="s">
        <v>55</v>
      </c>
      <c r="E144" s="6" t="s">
        <v>771</v>
      </c>
      <c r="F144" s="6" t="s">
        <v>813</v>
      </c>
      <c r="G144" s="6" t="s">
        <v>814</v>
      </c>
      <c r="H144" s="6" t="n">
        <v>5</v>
      </c>
      <c r="I144" s="6" t="s">
        <v>54</v>
      </c>
      <c r="J144" s="7" t="s">
        <v>26</v>
      </c>
      <c r="K144" s="7" t="s">
        <v>55</v>
      </c>
      <c r="L144" s="6" t="s">
        <v>55</v>
      </c>
      <c r="M144" s="6" t="s">
        <v>55</v>
      </c>
      <c r="N144" s="6" t="s">
        <v>55</v>
      </c>
      <c r="O144" s="6" t="s">
        <v>815</v>
      </c>
      <c r="P144" s="6" t="s">
        <v>816</v>
      </c>
    </row>
    <row r="145" customFormat="false" ht="14.25" hidden="true" customHeight="true" outlineLevel="0" collapsed="false">
      <c r="A145" s="6" t="s">
        <v>817</v>
      </c>
      <c r="B145" s="6" t="s">
        <v>769</v>
      </c>
      <c r="C145" s="6" t="s">
        <v>770</v>
      </c>
      <c r="D145" s="6" t="s">
        <v>55</v>
      </c>
      <c r="E145" s="6" t="s">
        <v>771</v>
      </c>
      <c r="F145" s="6" t="s">
        <v>818</v>
      </c>
      <c r="G145" s="6" t="s">
        <v>819</v>
      </c>
      <c r="H145" s="6" t="n">
        <v>3.5</v>
      </c>
      <c r="I145" s="6" t="s">
        <v>216</v>
      </c>
      <c r="J145" s="7" t="s">
        <v>24</v>
      </c>
      <c r="K145" s="7" t="s">
        <v>55</v>
      </c>
      <c r="L145" s="6" t="s">
        <v>55</v>
      </c>
      <c r="M145" s="6" t="s">
        <v>55</v>
      </c>
      <c r="N145" s="6" t="s">
        <v>55</v>
      </c>
      <c r="O145" s="6" t="s">
        <v>820</v>
      </c>
      <c r="P145" s="6" t="s">
        <v>821</v>
      </c>
    </row>
    <row r="146" customFormat="false" ht="14.25" hidden="true" customHeight="true" outlineLevel="0" collapsed="false">
      <c r="A146" s="6" t="s">
        <v>822</v>
      </c>
      <c r="B146" s="6" t="s">
        <v>769</v>
      </c>
      <c r="C146" s="6" t="s">
        <v>770</v>
      </c>
      <c r="D146" s="6" t="s">
        <v>55</v>
      </c>
      <c r="E146" s="6" t="s">
        <v>771</v>
      </c>
      <c r="F146" s="6" t="s">
        <v>823</v>
      </c>
      <c r="G146" s="6" t="s">
        <v>824</v>
      </c>
      <c r="H146" s="6" t="n">
        <v>2</v>
      </c>
      <c r="I146" s="6" t="s">
        <v>216</v>
      </c>
      <c r="J146" s="7" t="s">
        <v>24</v>
      </c>
      <c r="K146" s="7" t="s">
        <v>55</v>
      </c>
      <c r="L146" s="6" t="s">
        <v>55</v>
      </c>
      <c r="M146" s="6" t="s">
        <v>55</v>
      </c>
      <c r="N146" s="6" t="s">
        <v>55</v>
      </c>
      <c r="O146" s="6" t="s">
        <v>825</v>
      </c>
      <c r="P146" s="6" t="s">
        <v>826</v>
      </c>
    </row>
    <row r="147" customFormat="false" ht="14.25" hidden="true" customHeight="true" outlineLevel="0" collapsed="false">
      <c r="A147" s="6" t="s">
        <v>827</v>
      </c>
      <c r="B147" s="6" t="s">
        <v>769</v>
      </c>
      <c r="C147" s="6" t="s">
        <v>770</v>
      </c>
      <c r="D147" s="6" t="s">
        <v>55</v>
      </c>
      <c r="E147" s="6" t="s">
        <v>771</v>
      </c>
      <c r="F147" s="6" t="s">
        <v>828</v>
      </c>
      <c r="G147" s="6" t="s">
        <v>829</v>
      </c>
      <c r="H147" s="6" t="n">
        <v>2</v>
      </c>
      <c r="I147" s="6" t="s">
        <v>216</v>
      </c>
      <c r="J147" s="7" t="s">
        <v>24</v>
      </c>
      <c r="K147" s="7" t="s">
        <v>55</v>
      </c>
      <c r="L147" s="6" t="s">
        <v>55</v>
      </c>
      <c r="M147" s="6" t="s">
        <v>55</v>
      </c>
      <c r="N147" s="6" t="s">
        <v>55</v>
      </c>
      <c r="O147" s="6" t="s">
        <v>830</v>
      </c>
      <c r="P147" s="6" t="s">
        <v>831</v>
      </c>
    </row>
    <row r="148" customFormat="false" ht="14.25" hidden="true" customHeight="true" outlineLevel="0" collapsed="false">
      <c r="A148" s="6" t="s">
        <v>832</v>
      </c>
      <c r="B148" s="6" t="s">
        <v>769</v>
      </c>
      <c r="C148" s="6" t="s">
        <v>770</v>
      </c>
      <c r="D148" s="6" t="s">
        <v>55</v>
      </c>
      <c r="E148" s="6" t="s">
        <v>771</v>
      </c>
      <c r="F148" s="6" t="s">
        <v>833</v>
      </c>
      <c r="G148" s="6" t="s">
        <v>834</v>
      </c>
      <c r="H148" s="6" t="n">
        <v>5</v>
      </c>
      <c r="I148" s="6" t="s">
        <v>216</v>
      </c>
      <c r="J148" s="7" t="s">
        <v>24</v>
      </c>
      <c r="K148" s="7" t="s">
        <v>55</v>
      </c>
      <c r="L148" s="6" t="s">
        <v>55</v>
      </c>
      <c r="M148" s="6" t="s">
        <v>55</v>
      </c>
      <c r="N148" s="6" t="s">
        <v>55</v>
      </c>
      <c r="O148" s="6" t="s">
        <v>835</v>
      </c>
      <c r="P148" s="6" t="s">
        <v>836</v>
      </c>
    </row>
    <row r="149" customFormat="false" ht="14.25" hidden="true" customHeight="true" outlineLevel="0" collapsed="false">
      <c r="A149" s="6" t="s">
        <v>837</v>
      </c>
      <c r="B149" s="6" t="s">
        <v>769</v>
      </c>
      <c r="C149" s="6" t="s">
        <v>770</v>
      </c>
      <c r="D149" s="6" t="s">
        <v>55</v>
      </c>
      <c r="E149" s="6" t="s">
        <v>771</v>
      </c>
      <c r="F149" s="6" t="s">
        <v>838</v>
      </c>
      <c r="G149" s="6" t="s">
        <v>839</v>
      </c>
      <c r="H149" s="6" t="n">
        <v>2</v>
      </c>
      <c r="I149" s="6" t="s">
        <v>216</v>
      </c>
      <c r="J149" s="7" t="s">
        <v>24</v>
      </c>
      <c r="K149" s="7" t="s">
        <v>55</v>
      </c>
      <c r="L149" s="6" t="s">
        <v>55</v>
      </c>
      <c r="M149" s="6" t="s">
        <v>55</v>
      </c>
      <c r="N149" s="6" t="s">
        <v>55</v>
      </c>
      <c r="O149" s="6" t="s">
        <v>840</v>
      </c>
      <c r="P149" s="6" t="s">
        <v>831</v>
      </c>
    </row>
    <row r="150" customFormat="false" ht="14.25" hidden="true" customHeight="true" outlineLevel="0" collapsed="false">
      <c r="A150" s="6" t="s">
        <v>841</v>
      </c>
      <c r="B150" s="6" t="s">
        <v>769</v>
      </c>
      <c r="C150" s="6" t="s">
        <v>770</v>
      </c>
      <c r="D150" s="6" t="s">
        <v>55</v>
      </c>
      <c r="E150" s="6" t="s">
        <v>771</v>
      </c>
      <c r="F150" s="6" t="s">
        <v>842</v>
      </c>
      <c r="G150" s="6" t="s">
        <v>843</v>
      </c>
      <c r="H150" s="6" t="n">
        <v>2</v>
      </c>
      <c r="I150" s="6" t="s">
        <v>216</v>
      </c>
      <c r="J150" s="7" t="s">
        <v>24</v>
      </c>
      <c r="K150" s="7" t="s">
        <v>55</v>
      </c>
      <c r="L150" s="6" t="s">
        <v>55</v>
      </c>
      <c r="M150" s="6" t="s">
        <v>55</v>
      </c>
      <c r="N150" s="6" t="s">
        <v>55</v>
      </c>
      <c r="O150" s="6" t="s">
        <v>844</v>
      </c>
      <c r="P150" s="6" t="s">
        <v>831</v>
      </c>
    </row>
    <row r="151" customFormat="false" ht="14.25" hidden="true" customHeight="true" outlineLevel="0" collapsed="false">
      <c r="A151" s="6" t="s">
        <v>845</v>
      </c>
      <c r="B151" s="6" t="s">
        <v>769</v>
      </c>
      <c r="C151" s="6" t="s">
        <v>770</v>
      </c>
      <c r="D151" s="6" t="s">
        <v>55</v>
      </c>
      <c r="E151" s="6" t="s">
        <v>771</v>
      </c>
      <c r="F151" s="6" t="s">
        <v>846</v>
      </c>
      <c r="G151" s="6" t="s">
        <v>847</v>
      </c>
      <c r="H151" s="6" t="n">
        <v>0</v>
      </c>
      <c r="I151" s="6" t="s">
        <v>216</v>
      </c>
      <c r="J151" s="7" t="s">
        <v>28</v>
      </c>
      <c r="K151" s="7" t="s">
        <v>55</v>
      </c>
      <c r="L151" s="6" t="s">
        <v>55</v>
      </c>
      <c r="M151" s="6" t="s">
        <v>55</v>
      </c>
      <c r="N151" s="6" t="s">
        <v>55</v>
      </c>
      <c r="O151" s="6" t="s">
        <v>848</v>
      </c>
      <c r="P151" s="6" t="s">
        <v>849</v>
      </c>
    </row>
    <row r="152" customFormat="false" ht="14.25" hidden="true" customHeight="true" outlineLevel="0" collapsed="false">
      <c r="A152" s="6" t="s">
        <v>850</v>
      </c>
      <c r="B152" s="6" t="s">
        <v>769</v>
      </c>
      <c r="C152" s="6" t="s">
        <v>770</v>
      </c>
      <c r="D152" s="6" t="s">
        <v>55</v>
      </c>
      <c r="E152" s="6" t="s">
        <v>771</v>
      </c>
      <c r="F152" s="6" t="s">
        <v>851</v>
      </c>
      <c r="G152" s="6" t="s">
        <v>852</v>
      </c>
      <c r="H152" s="6" t="n">
        <v>3</v>
      </c>
      <c r="I152" s="6" t="s">
        <v>54</v>
      </c>
      <c r="J152" s="7" t="s">
        <v>28</v>
      </c>
      <c r="K152" s="7" t="s">
        <v>55</v>
      </c>
      <c r="L152" s="6" t="s">
        <v>55</v>
      </c>
      <c r="M152" s="6" t="s">
        <v>55</v>
      </c>
      <c r="N152" s="6" t="s">
        <v>55</v>
      </c>
      <c r="O152" s="6" t="s">
        <v>853</v>
      </c>
      <c r="P152" s="6" t="s">
        <v>111</v>
      </c>
    </row>
    <row r="153" customFormat="false" ht="14.25" hidden="true" customHeight="true" outlineLevel="0" collapsed="false">
      <c r="A153" s="6" t="s">
        <v>854</v>
      </c>
      <c r="B153" s="6" t="s">
        <v>769</v>
      </c>
      <c r="C153" s="6" t="s">
        <v>770</v>
      </c>
      <c r="D153" s="6" t="s">
        <v>55</v>
      </c>
      <c r="E153" s="6" t="s">
        <v>771</v>
      </c>
      <c r="F153" s="6" t="s">
        <v>213</v>
      </c>
      <c r="G153" s="6" t="s">
        <v>214</v>
      </c>
      <c r="H153" s="6" t="n">
        <v>2.5</v>
      </c>
      <c r="I153" s="6" t="s">
        <v>216</v>
      </c>
      <c r="J153" s="7" t="s">
        <v>15</v>
      </c>
      <c r="K153" s="7" t="s">
        <v>90</v>
      </c>
      <c r="L153" s="6" t="s">
        <v>855</v>
      </c>
      <c r="M153" s="6" t="s">
        <v>55</v>
      </c>
      <c r="N153" s="6" t="s">
        <v>55</v>
      </c>
      <c r="O153" s="6" t="s">
        <v>856</v>
      </c>
      <c r="P153" s="6" t="s">
        <v>857</v>
      </c>
    </row>
    <row r="154" customFormat="false" ht="14.25" hidden="true" customHeight="true" outlineLevel="0" collapsed="false">
      <c r="A154" s="6" t="s">
        <v>858</v>
      </c>
      <c r="B154" s="6" t="s">
        <v>769</v>
      </c>
      <c r="C154" s="6" t="s">
        <v>770</v>
      </c>
      <c r="D154" s="6" t="s">
        <v>55</v>
      </c>
      <c r="E154" s="6" t="s">
        <v>859</v>
      </c>
      <c r="F154" s="6" t="s">
        <v>860</v>
      </c>
      <c r="G154" s="6" t="s">
        <v>861</v>
      </c>
      <c r="H154" s="6" t="s">
        <v>55</v>
      </c>
      <c r="I154" s="6" t="s">
        <v>55</v>
      </c>
      <c r="J154" s="7" t="s">
        <v>15</v>
      </c>
      <c r="K154" s="7" t="s">
        <v>506</v>
      </c>
      <c r="L154" s="6" t="s">
        <v>862</v>
      </c>
      <c r="M154" s="6" t="s">
        <v>55</v>
      </c>
      <c r="N154" s="6" t="s">
        <v>55</v>
      </c>
      <c r="O154" s="6" t="s">
        <v>863</v>
      </c>
      <c r="P154" s="6" t="s">
        <v>864</v>
      </c>
    </row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15:P154">
    <filterColumn colId="9">
      <filters>
        <filter val="Missing from Roadmap"/>
      </filters>
    </filterColumn>
  </autoFilter>
  <mergeCells count="19">
    <mergeCell ref="A2:P2"/>
    <mergeCell ref="C4:D4"/>
    <mergeCell ref="E4:P4"/>
    <mergeCell ref="C5:D5"/>
    <mergeCell ref="E5:P5"/>
    <mergeCell ref="C6:D6"/>
    <mergeCell ref="E6:P6"/>
    <mergeCell ref="C7:D7"/>
    <mergeCell ref="E7:P7"/>
    <mergeCell ref="C8:D8"/>
    <mergeCell ref="E8:P8"/>
    <mergeCell ref="C9:D9"/>
    <mergeCell ref="E9:P9"/>
    <mergeCell ref="C10:D10"/>
    <mergeCell ref="E10:P10"/>
    <mergeCell ref="C11:D11"/>
    <mergeCell ref="C12:D12"/>
    <mergeCell ref="C13:D13"/>
    <mergeCell ref="A134:P134"/>
  </mergeCells>
  <conditionalFormatting sqref="J16:J154">
    <cfRule type="expression" priority="2" aboveAverage="0" equalAverage="0" bottom="0" percent="0" rank="0" text="" dxfId="16">
      <formula>$J16="In Roadmap"</formula>
    </cfRule>
    <cfRule type="expression" priority="3" aboveAverage="0" equalAverage="0" bottom="0" percent="0" rank="0" text="" dxfId="17">
      <formula>$J16="In Roadmap – add BEDE details"</formula>
    </cfRule>
    <cfRule type="expression" priority="4" aboveAverage="0" equalAverage="0" bottom="0" percent="0" rank="0" text="" dxfId="18">
      <formula>$J16="Missing from Roadmap"</formula>
    </cfRule>
    <cfRule type="expression" priority="5" aboveAverage="0" equalAverage="0" bottom="0" percent="0" rank="0" text="" dxfId="19">
      <formula>$J16="Conflicts with Roadmap item"</formula>
    </cfRule>
    <cfRule type="expression" priority="6" aboveAverage="0" equalAverage="0" bottom="0" percent="0" rank="0" text="" dxfId="20">
      <formula>$J16="Native – no roadmap item needed"</formula>
    </cfRule>
    <cfRule type="expression" priority="7" aboveAverage="0" equalAverage="0" bottom="0" percent="0" rank="0" text="" dxfId="21">
      <formula>$J16="Non-roadmap (delivery / support / commercial)"</formula>
    </cfRule>
    <cfRule type="expression" priority="8" aboveAverage="0" equalAverage="0" bottom="0" percent="0" rank="0" text="" dxfId="22">
      <formula>$J16="Roadmap only – not required by BEDE"</formula>
    </cfRule>
    <cfRule type="expression" priority="9" aboveAverage="0" equalAverage="0" bottom="0" percent="0" rank="0" text="" dxfId="23">
      <formula>$J16="Roadmap – rescope to BEDE wording"</formula>
    </cfRule>
    <cfRule type="expression" priority="10" aboveAverage="0" equalAverage="0" bottom="0" percent="0" rank="0" text="" dxfId="24">
      <formula>$J16="Roadmap – keep (implied by CBB)"</formula>
    </cfRule>
  </conditionalFormatting>
  <conditionalFormatting sqref="K16:K154">
    <cfRule type="expression" priority="11" aboveAverage="0" equalAverage="0" bottom="0" percent="0" rank="0" text="" dxfId="25">
      <formula>$K16="Inside Mifos / Fineract"</formula>
    </cfRule>
    <cfRule type="expression" priority="12" aboveAverage="0" equalAverage="0" bottom="0" percent="0" rank="0" text="" dxfId="26">
      <formula>$K16="Outside Mifos"</formula>
    </cfRule>
    <cfRule type="expression" priority="13" aboveAverage="0" equalAverage="0" bottom="0" percent="0" rank="0" text="" dxfId="27">
      <formula>$K16="Split – Mifos + outside"</formula>
    </cfRule>
  </conditionalFormatting>
  <dataValidations count="1">
    <dataValidation allowBlank="true" errorStyle="stop" operator="between" showDropDown="false" showErrorMessage="false" showInputMessage="false" sqref="J16:J133 J135:J154" type="list">
      <formula1>$Z$5:$Z$13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17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4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22" t="s">
        <v>865</v>
      </c>
    </row>
    <row r="2" customFormat="false" ht="15" hidden="false" customHeight="false" outlineLevel="0" collapsed="false">
      <c r="A2" s="23" t="s">
        <v>866</v>
      </c>
    </row>
    <row r="4" customFormat="false" ht="41.75" hidden="false" customHeight="false" outlineLevel="0" collapsed="false">
      <c r="A4" s="24" t="s">
        <v>867</v>
      </c>
      <c r="B4" s="24"/>
      <c r="C4" s="24"/>
      <c r="E4" s="25" t="s">
        <v>868</v>
      </c>
      <c r="F4" s="25" t="s">
        <v>3</v>
      </c>
      <c r="G4" s="25" t="s">
        <v>869</v>
      </c>
      <c r="I4" s="26" t="s">
        <v>870</v>
      </c>
      <c r="J4" s="26" t="s">
        <v>3</v>
      </c>
    </row>
    <row r="5" customFormat="false" ht="15" hidden="false" customHeight="false" outlineLevel="0" collapsed="false">
      <c r="A5" s="19" t="s">
        <v>871</v>
      </c>
      <c r="B5" s="27" t="s">
        <v>872</v>
      </c>
      <c r="E5" s="0" t="s">
        <v>873</v>
      </c>
      <c r="F5" s="0" t="n">
        <f aca="false">COUNTIF($E$14:$E$131,E5)</f>
        <v>6</v>
      </c>
      <c r="G5" s="0" t="n">
        <f aca="false">COUNTIFS($E$14:$E$131,E5,$G$14:$G$131,"Yes")</f>
        <v>6</v>
      </c>
      <c r="I5" s="0" t="s">
        <v>874</v>
      </c>
      <c r="J5" s="0" t="n">
        <f aca="false">COUNTIF($G$14:$G$131,I5)</f>
        <v>23</v>
      </c>
    </row>
    <row r="6" customFormat="false" ht="15" hidden="false" customHeight="false" outlineLevel="0" collapsed="false">
      <c r="A6" s="19" t="s">
        <v>875</v>
      </c>
      <c r="B6" s="27" t="s">
        <v>876</v>
      </c>
      <c r="E6" s="0" t="s">
        <v>877</v>
      </c>
      <c r="F6" s="0" t="n">
        <f aca="false">COUNTIF($E$14:$E$131,E6)</f>
        <v>26</v>
      </c>
      <c r="G6" s="0" t="n">
        <f aca="false">COUNTIFS($E$14:$E$131,E6,$G$14:$G$131,"Yes")</f>
        <v>12</v>
      </c>
      <c r="I6" s="0" t="s">
        <v>878</v>
      </c>
      <c r="J6" s="0" t="n">
        <f aca="false">COUNTIF($G$14:$G$131,I6)</f>
        <v>37</v>
      </c>
    </row>
    <row r="7" customFormat="false" ht="15" hidden="false" customHeight="false" outlineLevel="0" collapsed="false">
      <c r="A7" s="19" t="s">
        <v>879</v>
      </c>
      <c r="B7" s="27" t="s">
        <v>880</v>
      </c>
      <c r="E7" s="0" t="s">
        <v>881</v>
      </c>
      <c r="F7" s="0" t="n">
        <f aca="false">COUNTIF($E$14:$E$131,E7)</f>
        <v>1</v>
      </c>
      <c r="G7" s="0" t="n">
        <f aca="false">COUNTIFS($E$14:$E$131,E7,$G$14:$G$131,"Yes")</f>
        <v>1</v>
      </c>
      <c r="I7" s="0" t="s">
        <v>882</v>
      </c>
      <c r="J7" s="0" t="n">
        <f aca="false">COUNTIF($G$14:$G$131,I7)</f>
        <v>58</v>
      </c>
    </row>
    <row r="8" customFormat="false" ht="15" hidden="false" customHeight="false" outlineLevel="0" collapsed="false">
      <c r="A8" s="19" t="s">
        <v>883</v>
      </c>
      <c r="B8" s="27" t="s">
        <v>884</v>
      </c>
      <c r="E8" s="0" t="s">
        <v>885</v>
      </c>
      <c r="F8" s="0" t="n">
        <f aca="false">COUNTIF($E$14:$E$131,E8)</f>
        <v>50</v>
      </c>
      <c r="G8" s="0" t="n">
        <f aca="false">COUNTIFS($E$14:$E$131,E8,$G$14:$G$131,"Yes")</f>
        <v>4</v>
      </c>
      <c r="I8" s="0" t="s">
        <v>30</v>
      </c>
      <c r="J8" s="0" t="n">
        <f aca="false">SUM(J5:J7)</f>
        <v>118</v>
      </c>
    </row>
    <row r="9" customFormat="false" ht="15" hidden="false" customHeight="false" outlineLevel="0" collapsed="false">
      <c r="A9" s="19" t="s">
        <v>886</v>
      </c>
      <c r="B9" s="27" t="s">
        <v>887</v>
      </c>
      <c r="E9" s="0" t="s">
        <v>888</v>
      </c>
      <c r="F9" s="0" t="n">
        <f aca="false">COUNTIF($E$14:$E$131,E9)</f>
        <v>35</v>
      </c>
      <c r="G9" s="0" t="n">
        <f aca="false">COUNTIFS($E$14:$E$131,E9,$G$14:$G$131,"Yes")</f>
        <v>0</v>
      </c>
    </row>
    <row r="10" customFormat="false" ht="15" hidden="false" customHeight="false" outlineLevel="0" collapsed="false">
      <c r="E10" s="28" t="s">
        <v>30</v>
      </c>
      <c r="F10" s="28" t="n">
        <f aca="false">SUM(F5:F9)</f>
        <v>118</v>
      </c>
      <c r="G10" s="28" t="n">
        <f aca="false">SUM(G5:G9)</f>
        <v>23</v>
      </c>
      <c r="I10" s="29" t="s">
        <v>889</v>
      </c>
    </row>
    <row r="13" customFormat="false" ht="28.35" hidden="false" customHeight="false" outlineLevel="0" collapsed="false">
      <c r="A13" s="30" t="s">
        <v>31</v>
      </c>
      <c r="B13" s="30" t="s">
        <v>33</v>
      </c>
      <c r="C13" s="30" t="s">
        <v>34</v>
      </c>
      <c r="D13" s="30" t="s">
        <v>35</v>
      </c>
      <c r="E13" s="30" t="s">
        <v>890</v>
      </c>
      <c r="F13" s="30" t="s">
        <v>891</v>
      </c>
      <c r="G13" s="30" t="s">
        <v>892</v>
      </c>
      <c r="H13" s="30" t="s">
        <v>893</v>
      </c>
      <c r="I13" s="30" t="s">
        <v>894</v>
      </c>
      <c r="J13" s="30" t="s">
        <v>36</v>
      </c>
    </row>
    <row r="14" customFormat="false" ht="46.25" hidden="false" customHeight="false" outlineLevel="0" collapsed="false">
      <c r="A14" s="31" t="s">
        <v>46</v>
      </c>
      <c r="B14" s="32" t="s">
        <v>48</v>
      </c>
      <c r="C14" s="32" t="s">
        <v>49</v>
      </c>
      <c r="D14" s="32" t="s">
        <v>50</v>
      </c>
      <c r="E14" s="32" t="s">
        <v>877</v>
      </c>
      <c r="F14" s="32" t="s">
        <v>895</v>
      </c>
      <c r="G14" s="32" t="s">
        <v>874</v>
      </c>
      <c r="H14" s="32" t="s">
        <v>55</v>
      </c>
      <c r="I14" s="32" t="s">
        <v>896</v>
      </c>
      <c r="J14" s="32" t="s">
        <v>51</v>
      </c>
    </row>
    <row r="15" customFormat="false" ht="35.05" hidden="false" customHeight="false" outlineLevel="0" collapsed="false">
      <c r="A15" s="31" t="s">
        <v>60</v>
      </c>
      <c r="B15" s="32" t="s">
        <v>48</v>
      </c>
      <c r="C15" s="32" t="s">
        <v>49</v>
      </c>
      <c r="D15" s="32" t="s">
        <v>61</v>
      </c>
      <c r="E15" s="32" t="s">
        <v>885</v>
      </c>
      <c r="F15" s="32" t="s">
        <v>55</v>
      </c>
      <c r="G15" s="32" t="s">
        <v>878</v>
      </c>
      <c r="H15" s="32" t="s">
        <v>897</v>
      </c>
      <c r="I15" s="32" t="s">
        <v>898</v>
      </c>
      <c r="J15" s="32" t="s">
        <v>62</v>
      </c>
    </row>
    <row r="16" customFormat="false" ht="35.05" hidden="false" customHeight="false" outlineLevel="0" collapsed="false">
      <c r="A16" s="31" t="s">
        <v>69</v>
      </c>
      <c r="B16" s="32" t="s">
        <v>48</v>
      </c>
      <c r="C16" s="32" t="s">
        <v>49</v>
      </c>
      <c r="D16" s="32" t="s">
        <v>70</v>
      </c>
      <c r="E16" s="32" t="s">
        <v>877</v>
      </c>
      <c r="F16" s="32" t="s">
        <v>899</v>
      </c>
      <c r="G16" s="32" t="s">
        <v>874</v>
      </c>
      <c r="H16" s="32" t="s">
        <v>55</v>
      </c>
      <c r="I16" s="32" t="s">
        <v>900</v>
      </c>
      <c r="J16" s="32" t="s">
        <v>71</v>
      </c>
    </row>
    <row r="17" customFormat="false" ht="35.05" hidden="false" customHeight="false" outlineLevel="0" collapsed="false">
      <c r="A17" s="31" t="s">
        <v>78</v>
      </c>
      <c r="B17" s="32" t="s">
        <v>48</v>
      </c>
      <c r="C17" s="32" t="s">
        <v>49</v>
      </c>
      <c r="D17" s="32" t="s">
        <v>79</v>
      </c>
      <c r="E17" s="32" t="s">
        <v>873</v>
      </c>
      <c r="F17" s="32" t="s">
        <v>901</v>
      </c>
      <c r="G17" s="32" t="s">
        <v>874</v>
      </c>
      <c r="H17" s="32" t="s">
        <v>55</v>
      </c>
      <c r="I17" s="32" t="s">
        <v>55</v>
      </c>
      <c r="J17" s="32" t="s">
        <v>80</v>
      </c>
    </row>
    <row r="18" customFormat="false" ht="23.85" hidden="false" customHeight="false" outlineLevel="0" collapsed="false">
      <c r="A18" s="31" t="s">
        <v>88</v>
      </c>
      <c r="B18" s="32" t="s">
        <v>48</v>
      </c>
      <c r="C18" s="32" t="s">
        <v>49</v>
      </c>
      <c r="D18" s="32" t="s">
        <v>89</v>
      </c>
      <c r="E18" s="32" t="s">
        <v>885</v>
      </c>
      <c r="F18" s="32" t="s">
        <v>55</v>
      </c>
      <c r="G18" s="32" t="s">
        <v>874</v>
      </c>
      <c r="H18" s="32" t="s">
        <v>55</v>
      </c>
      <c r="I18" s="32" t="s">
        <v>902</v>
      </c>
      <c r="J18" s="32" t="s">
        <v>55</v>
      </c>
    </row>
    <row r="19" customFormat="false" ht="23.85" hidden="false" customHeight="false" outlineLevel="0" collapsed="false">
      <c r="A19" s="31" t="s">
        <v>96</v>
      </c>
      <c r="B19" s="32" t="s">
        <v>48</v>
      </c>
      <c r="C19" s="32" t="s">
        <v>49</v>
      </c>
      <c r="D19" s="32" t="s">
        <v>97</v>
      </c>
      <c r="E19" s="32" t="s">
        <v>885</v>
      </c>
      <c r="F19" s="32" t="s">
        <v>55</v>
      </c>
      <c r="G19" s="32" t="s">
        <v>874</v>
      </c>
      <c r="H19" s="32" t="s">
        <v>55</v>
      </c>
      <c r="I19" s="32" t="s">
        <v>903</v>
      </c>
      <c r="J19" s="32" t="s">
        <v>55</v>
      </c>
    </row>
    <row r="20" customFormat="false" ht="35.05" hidden="false" customHeight="false" outlineLevel="0" collapsed="false">
      <c r="A20" s="31" t="s">
        <v>102</v>
      </c>
      <c r="B20" s="32" t="s">
        <v>48</v>
      </c>
      <c r="C20" s="32" t="s">
        <v>103</v>
      </c>
      <c r="D20" s="32" t="s">
        <v>104</v>
      </c>
      <c r="E20" s="32" t="s">
        <v>877</v>
      </c>
      <c r="F20" s="32" t="s">
        <v>904</v>
      </c>
      <c r="G20" s="32" t="s">
        <v>878</v>
      </c>
      <c r="H20" s="32" t="s">
        <v>905</v>
      </c>
      <c r="I20" s="32" t="s">
        <v>906</v>
      </c>
      <c r="J20" s="32" t="s">
        <v>105</v>
      </c>
    </row>
    <row r="21" customFormat="false" ht="35.05" hidden="false" customHeight="false" outlineLevel="0" collapsed="false">
      <c r="A21" s="31" t="s">
        <v>112</v>
      </c>
      <c r="B21" s="32" t="s">
        <v>48</v>
      </c>
      <c r="C21" s="32" t="s">
        <v>103</v>
      </c>
      <c r="D21" s="32" t="s">
        <v>113</v>
      </c>
      <c r="E21" s="32" t="s">
        <v>885</v>
      </c>
      <c r="F21" s="32" t="s">
        <v>55</v>
      </c>
      <c r="G21" s="32" t="s">
        <v>878</v>
      </c>
      <c r="H21" s="32" t="s">
        <v>907</v>
      </c>
      <c r="I21" s="32" t="s">
        <v>908</v>
      </c>
      <c r="J21" s="32" t="s">
        <v>114</v>
      </c>
    </row>
    <row r="22" customFormat="false" ht="35.05" hidden="false" customHeight="false" outlineLevel="0" collapsed="false">
      <c r="A22" s="31" t="s">
        <v>121</v>
      </c>
      <c r="B22" s="32" t="s">
        <v>48</v>
      </c>
      <c r="C22" s="32" t="s">
        <v>103</v>
      </c>
      <c r="D22" s="32" t="s">
        <v>122</v>
      </c>
      <c r="E22" s="32" t="s">
        <v>877</v>
      </c>
      <c r="F22" s="32" t="s">
        <v>909</v>
      </c>
      <c r="G22" s="32" t="s">
        <v>874</v>
      </c>
      <c r="H22" s="32" t="s">
        <v>55</v>
      </c>
      <c r="I22" s="32" t="s">
        <v>910</v>
      </c>
      <c r="J22" s="32" t="s">
        <v>123</v>
      </c>
    </row>
    <row r="23" customFormat="false" ht="23.85" hidden="false" customHeight="false" outlineLevel="0" collapsed="false">
      <c r="A23" s="31" t="s">
        <v>129</v>
      </c>
      <c r="B23" s="32" t="s">
        <v>48</v>
      </c>
      <c r="C23" s="32" t="s">
        <v>103</v>
      </c>
      <c r="D23" s="32" t="s">
        <v>130</v>
      </c>
      <c r="E23" s="32" t="s">
        <v>873</v>
      </c>
      <c r="F23" s="32" t="s">
        <v>911</v>
      </c>
      <c r="G23" s="32" t="s">
        <v>874</v>
      </c>
      <c r="H23" s="32" t="s">
        <v>55</v>
      </c>
      <c r="I23" s="32" t="s">
        <v>55</v>
      </c>
      <c r="J23" s="32" t="s">
        <v>131</v>
      </c>
    </row>
    <row r="24" customFormat="false" ht="35.05" hidden="false" customHeight="false" outlineLevel="0" collapsed="false">
      <c r="A24" s="31" t="s">
        <v>138</v>
      </c>
      <c r="B24" s="32" t="s">
        <v>48</v>
      </c>
      <c r="C24" s="32" t="s">
        <v>103</v>
      </c>
      <c r="D24" s="32" t="s">
        <v>139</v>
      </c>
      <c r="E24" s="32" t="s">
        <v>877</v>
      </c>
      <c r="F24" s="32" t="s">
        <v>912</v>
      </c>
      <c r="G24" s="32" t="s">
        <v>874</v>
      </c>
      <c r="H24" s="32" t="s">
        <v>55</v>
      </c>
      <c r="I24" s="32" t="s">
        <v>913</v>
      </c>
      <c r="J24" s="32" t="s">
        <v>140</v>
      </c>
    </row>
    <row r="25" customFormat="false" ht="23.85" hidden="false" customHeight="false" outlineLevel="0" collapsed="false">
      <c r="A25" s="31" t="s">
        <v>147</v>
      </c>
      <c r="B25" s="32" t="s">
        <v>48</v>
      </c>
      <c r="C25" s="32" t="s">
        <v>103</v>
      </c>
      <c r="D25" s="32" t="s">
        <v>148</v>
      </c>
      <c r="E25" s="32" t="s">
        <v>885</v>
      </c>
      <c r="F25" s="32" t="s">
        <v>55</v>
      </c>
      <c r="G25" s="32" t="s">
        <v>878</v>
      </c>
      <c r="H25" s="32" t="s">
        <v>914</v>
      </c>
      <c r="I25" s="32" t="s">
        <v>915</v>
      </c>
      <c r="J25" s="32" t="s">
        <v>149</v>
      </c>
    </row>
    <row r="26" customFormat="false" ht="23.85" hidden="false" customHeight="false" outlineLevel="0" collapsed="false">
      <c r="A26" s="31" t="s">
        <v>156</v>
      </c>
      <c r="B26" s="32" t="s">
        <v>48</v>
      </c>
      <c r="C26" s="32" t="s">
        <v>103</v>
      </c>
      <c r="D26" s="32" t="s">
        <v>157</v>
      </c>
      <c r="E26" s="32" t="s">
        <v>885</v>
      </c>
      <c r="F26" s="32" t="s">
        <v>55</v>
      </c>
      <c r="G26" s="32" t="s">
        <v>878</v>
      </c>
      <c r="H26" s="32" t="s">
        <v>916</v>
      </c>
      <c r="I26" s="32" t="s">
        <v>917</v>
      </c>
      <c r="J26" s="32" t="s">
        <v>158</v>
      </c>
    </row>
    <row r="27" customFormat="false" ht="23.85" hidden="false" customHeight="false" outlineLevel="0" collapsed="false">
      <c r="A27" s="31" t="s">
        <v>164</v>
      </c>
      <c r="B27" s="32" t="s">
        <v>48</v>
      </c>
      <c r="C27" s="32" t="s">
        <v>165</v>
      </c>
      <c r="D27" s="32" t="s">
        <v>166</v>
      </c>
      <c r="E27" s="32" t="s">
        <v>877</v>
      </c>
      <c r="F27" s="32" t="s">
        <v>918</v>
      </c>
      <c r="G27" s="32" t="s">
        <v>878</v>
      </c>
      <c r="H27" s="32" t="s">
        <v>919</v>
      </c>
      <c r="I27" s="32" t="s">
        <v>920</v>
      </c>
      <c r="J27" s="32" t="s">
        <v>167</v>
      </c>
    </row>
    <row r="28" customFormat="false" ht="23.85" hidden="false" customHeight="false" outlineLevel="0" collapsed="false">
      <c r="A28" s="31" t="s">
        <v>174</v>
      </c>
      <c r="B28" s="32" t="s">
        <v>48</v>
      </c>
      <c r="C28" s="32" t="s">
        <v>165</v>
      </c>
      <c r="D28" s="32" t="s">
        <v>175</v>
      </c>
      <c r="E28" s="32" t="s">
        <v>877</v>
      </c>
      <c r="F28" s="32" t="s">
        <v>921</v>
      </c>
      <c r="G28" s="32" t="s">
        <v>878</v>
      </c>
      <c r="H28" s="32" t="s">
        <v>922</v>
      </c>
      <c r="I28" s="32" t="s">
        <v>923</v>
      </c>
      <c r="J28" s="32" t="s">
        <v>176</v>
      </c>
    </row>
    <row r="29" customFormat="false" ht="23.85" hidden="false" customHeight="false" outlineLevel="0" collapsed="false">
      <c r="A29" s="31" t="s">
        <v>183</v>
      </c>
      <c r="B29" s="32" t="s">
        <v>48</v>
      </c>
      <c r="C29" s="32" t="s">
        <v>165</v>
      </c>
      <c r="D29" s="32" t="s">
        <v>184</v>
      </c>
      <c r="E29" s="32" t="s">
        <v>885</v>
      </c>
      <c r="F29" s="32" t="s">
        <v>55</v>
      </c>
      <c r="G29" s="32" t="s">
        <v>878</v>
      </c>
      <c r="H29" s="32" t="s">
        <v>916</v>
      </c>
      <c r="I29" s="32" t="s">
        <v>924</v>
      </c>
      <c r="J29" s="32" t="s">
        <v>185</v>
      </c>
    </row>
    <row r="30" customFormat="false" ht="35.05" hidden="false" customHeight="false" outlineLevel="0" collapsed="false">
      <c r="A30" s="31" t="s">
        <v>194</v>
      </c>
      <c r="B30" s="32" t="s">
        <v>48</v>
      </c>
      <c r="C30" s="32" t="s">
        <v>165</v>
      </c>
      <c r="D30" s="32" t="s">
        <v>195</v>
      </c>
      <c r="E30" s="32" t="s">
        <v>877</v>
      </c>
      <c r="F30" s="32" t="s">
        <v>925</v>
      </c>
      <c r="G30" s="32" t="s">
        <v>878</v>
      </c>
      <c r="H30" s="32" t="s">
        <v>926</v>
      </c>
      <c r="I30" s="32" t="s">
        <v>927</v>
      </c>
      <c r="J30" s="32" t="s">
        <v>196</v>
      </c>
    </row>
    <row r="31" customFormat="false" ht="35.05" hidden="false" customHeight="false" outlineLevel="0" collapsed="false">
      <c r="A31" s="31" t="s">
        <v>202</v>
      </c>
      <c r="B31" s="32" t="s">
        <v>48</v>
      </c>
      <c r="C31" s="32" t="s">
        <v>165</v>
      </c>
      <c r="D31" s="32" t="s">
        <v>203</v>
      </c>
      <c r="E31" s="32" t="s">
        <v>873</v>
      </c>
      <c r="F31" s="32" t="s">
        <v>928</v>
      </c>
      <c r="G31" s="32" t="s">
        <v>874</v>
      </c>
      <c r="H31" s="32" t="s">
        <v>929</v>
      </c>
      <c r="I31" s="32" t="s">
        <v>930</v>
      </c>
      <c r="J31" s="32" t="s">
        <v>204</v>
      </c>
    </row>
    <row r="32" customFormat="false" ht="23.85" hidden="false" customHeight="false" outlineLevel="0" collapsed="false">
      <c r="A32" s="31" t="s">
        <v>211</v>
      </c>
      <c r="B32" s="32" t="s">
        <v>48</v>
      </c>
      <c r="C32" s="32" t="s">
        <v>165</v>
      </c>
      <c r="D32" s="32" t="s">
        <v>212</v>
      </c>
      <c r="E32" s="32" t="s">
        <v>873</v>
      </c>
      <c r="F32" s="32" t="s">
        <v>931</v>
      </c>
      <c r="G32" s="32" t="s">
        <v>874</v>
      </c>
      <c r="H32" s="32" t="s">
        <v>55</v>
      </c>
      <c r="I32" s="32" t="s">
        <v>55</v>
      </c>
      <c r="J32" s="32" t="s">
        <v>213</v>
      </c>
    </row>
    <row r="33" customFormat="false" ht="35.05" hidden="false" customHeight="false" outlineLevel="0" collapsed="false">
      <c r="A33" s="31" t="s">
        <v>222</v>
      </c>
      <c r="B33" s="32" t="s">
        <v>48</v>
      </c>
      <c r="C33" s="32" t="s">
        <v>165</v>
      </c>
      <c r="D33" s="32" t="s">
        <v>223</v>
      </c>
      <c r="E33" s="32" t="s">
        <v>877</v>
      </c>
      <c r="F33" s="32" t="s">
        <v>932</v>
      </c>
      <c r="G33" s="32" t="s">
        <v>878</v>
      </c>
      <c r="H33" s="32" t="s">
        <v>933</v>
      </c>
      <c r="I33" s="32" t="s">
        <v>934</v>
      </c>
      <c r="J33" s="32" t="s">
        <v>55</v>
      </c>
    </row>
    <row r="34" customFormat="false" ht="23.85" hidden="false" customHeight="false" outlineLevel="0" collapsed="false">
      <c r="A34" s="31" t="s">
        <v>229</v>
      </c>
      <c r="B34" s="32" t="s">
        <v>48</v>
      </c>
      <c r="C34" s="32" t="s">
        <v>165</v>
      </c>
      <c r="D34" s="32" t="s">
        <v>230</v>
      </c>
      <c r="E34" s="32" t="s">
        <v>885</v>
      </c>
      <c r="F34" s="32" t="s">
        <v>935</v>
      </c>
      <c r="G34" s="32" t="s">
        <v>874</v>
      </c>
      <c r="H34" s="32" t="s">
        <v>55</v>
      </c>
      <c r="I34" s="32" t="s">
        <v>936</v>
      </c>
      <c r="J34" s="32" t="s">
        <v>231</v>
      </c>
    </row>
    <row r="35" customFormat="false" ht="35.05" hidden="false" customHeight="false" outlineLevel="0" collapsed="false">
      <c r="A35" s="31" t="s">
        <v>239</v>
      </c>
      <c r="B35" s="32" t="s">
        <v>48</v>
      </c>
      <c r="C35" s="32" t="s">
        <v>165</v>
      </c>
      <c r="D35" s="32" t="s">
        <v>240</v>
      </c>
      <c r="E35" s="32" t="s">
        <v>877</v>
      </c>
      <c r="F35" s="32" t="s">
        <v>937</v>
      </c>
      <c r="G35" s="32" t="s">
        <v>874</v>
      </c>
      <c r="H35" s="32" t="s">
        <v>55</v>
      </c>
      <c r="I35" s="32" t="s">
        <v>938</v>
      </c>
      <c r="J35" s="32" t="s">
        <v>241</v>
      </c>
    </row>
    <row r="36" customFormat="false" ht="23.85" hidden="false" customHeight="false" outlineLevel="0" collapsed="false">
      <c r="A36" s="31" t="s">
        <v>248</v>
      </c>
      <c r="B36" s="32" t="s">
        <v>48</v>
      </c>
      <c r="C36" s="32" t="s">
        <v>165</v>
      </c>
      <c r="D36" s="32" t="s">
        <v>249</v>
      </c>
      <c r="E36" s="32" t="s">
        <v>873</v>
      </c>
      <c r="F36" s="32" t="s">
        <v>939</v>
      </c>
      <c r="G36" s="32" t="s">
        <v>874</v>
      </c>
      <c r="H36" s="32" t="s">
        <v>55</v>
      </c>
      <c r="I36" s="32" t="s">
        <v>55</v>
      </c>
      <c r="J36" s="32" t="s">
        <v>250</v>
      </c>
    </row>
    <row r="37" customFormat="false" ht="35.05" hidden="false" customHeight="false" outlineLevel="0" collapsed="false">
      <c r="A37" s="31" t="s">
        <v>255</v>
      </c>
      <c r="B37" s="32" t="s">
        <v>48</v>
      </c>
      <c r="C37" s="32" t="s">
        <v>165</v>
      </c>
      <c r="D37" s="32" t="s">
        <v>256</v>
      </c>
      <c r="E37" s="32" t="s">
        <v>877</v>
      </c>
      <c r="F37" s="32" t="s">
        <v>940</v>
      </c>
      <c r="G37" s="32" t="s">
        <v>874</v>
      </c>
      <c r="H37" s="32" t="s">
        <v>55</v>
      </c>
      <c r="I37" s="32" t="s">
        <v>941</v>
      </c>
      <c r="J37" s="32" t="s">
        <v>257</v>
      </c>
    </row>
    <row r="38" customFormat="false" ht="23.85" hidden="false" customHeight="false" outlineLevel="0" collapsed="false">
      <c r="A38" s="31" t="s">
        <v>264</v>
      </c>
      <c r="B38" s="32" t="s">
        <v>48</v>
      </c>
      <c r="C38" s="32" t="s">
        <v>165</v>
      </c>
      <c r="D38" s="32" t="s">
        <v>265</v>
      </c>
      <c r="E38" s="32" t="s">
        <v>877</v>
      </c>
      <c r="F38" s="32" t="s">
        <v>942</v>
      </c>
      <c r="G38" s="32" t="s">
        <v>878</v>
      </c>
      <c r="H38" s="32" t="s">
        <v>943</v>
      </c>
      <c r="I38" s="32" t="s">
        <v>944</v>
      </c>
      <c r="J38" s="32" t="s">
        <v>55</v>
      </c>
    </row>
    <row r="39" customFormat="false" ht="23.85" hidden="false" customHeight="false" outlineLevel="0" collapsed="false">
      <c r="A39" s="31" t="s">
        <v>271</v>
      </c>
      <c r="B39" s="32" t="s">
        <v>48</v>
      </c>
      <c r="C39" s="32" t="s">
        <v>272</v>
      </c>
      <c r="D39" s="32" t="s">
        <v>273</v>
      </c>
      <c r="E39" s="32" t="s">
        <v>877</v>
      </c>
      <c r="F39" s="32" t="s">
        <v>945</v>
      </c>
      <c r="G39" s="32" t="s">
        <v>874</v>
      </c>
      <c r="H39" s="32" t="s">
        <v>55</v>
      </c>
      <c r="I39" s="32" t="s">
        <v>946</v>
      </c>
      <c r="J39" s="32" t="s">
        <v>274</v>
      </c>
    </row>
    <row r="40" customFormat="false" ht="23.85" hidden="false" customHeight="false" outlineLevel="0" collapsed="false">
      <c r="A40" s="31" t="s">
        <v>281</v>
      </c>
      <c r="B40" s="32" t="s">
        <v>48</v>
      </c>
      <c r="C40" s="32" t="s">
        <v>272</v>
      </c>
      <c r="D40" s="32" t="s">
        <v>282</v>
      </c>
      <c r="E40" s="32" t="s">
        <v>877</v>
      </c>
      <c r="F40" s="32" t="s">
        <v>947</v>
      </c>
      <c r="G40" s="32" t="s">
        <v>878</v>
      </c>
      <c r="H40" s="32" t="s">
        <v>948</v>
      </c>
      <c r="I40" s="32" t="s">
        <v>949</v>
      </c>
      <c r="J40" s="32" t="s">
        <v>283</v>
      </c>
    </row>
    <row r="41" customFormat="false" ht="23.85" hidden="false" customHeight="false" outlineLevel="0" collapsed="false">
      <c r="A41" s="31" t="s">
        <v>290</v>
      </c>
      <c r="B41" s="32" t="s">
        <v>48</v>
      </c>
      <c r="C41" s="32" t="s">
        <v>272</v>
      </c>
      <c r="D41" s="32" t="s">
        <v>291</v>
      </c>
      <c r="E41" s="32" t="s">
        <v>885</v>
      </c>
      <c r="F41" s="32" t="s">
        <v>55</v>
      </c>
      <c r="G41" s="32" t="s">
        <v>878</v>
      </c>
      <c r="H41" s="32" t="s">
        <v>950</v>
      </c>
      <c r="I41" s="32" t="s">
        <v>951</v>
      </c>
      <c r="J41" s="32" t="s">
        <v>292</v>
      </c>
    </row>
    <row r="42" customFormat="false" ht="23.85" hidden="false" customHeight="false" outlineLevel="0" collapsed="false">
      <c r="A42" s="31" t="s">
        <v>298</v>
      </c>
      <c r="B42" s="32" t="s">
        <v>48</v>
      </c>
      <c r="C42" s="32" t="s">
        <v>272</v>
      </c>
      <c r="D42" s="32" t="s">
        <v>299</v>
      </c>
      <c r="E42" s="32" t="s">
        <v>885</v>
      </c>
      <c r="F42" s="32" t="s">
        <v>55</v>
      </c>
      <c r="G42" s="32" t="s">
        <v>878</v>
      </c>
      <c r="H42" s="32" t="s">
        <v>952</v>
      </c>
      <c r="I42" s="32" t="s">
        <v>953</v>
      </c>
      <c r="J42" s="32" t="s">
        <v>292</v>
      </c>
    </row>
    <row r="43" customFormat="false" ht="23.85" hidden="false" customHeight="false" outlineLevel="0" collapsed="false">
      <c r="A43" s="31" t="s">
        <v>303</v>
      </c>
      <c r="B43" s="32" t="s">
        <v>48</v>
      </c>
      <c r="C43" s="32" t="s">
        <v>272</v>
      </c>
      <c r="D43" s="32" t="s">
        <v>304</v>
      </c>
      <c r="E43" s="32" t="s">
        <v>885</v>
      </c>
      <c r="F43" s="32" t="s">
        <v>55</v>
      </c>
      <c r="G43" s="32" t="s">
        <v>882</v>
      </c>
      <c r="H43" s="32" t="s">
        <v>954</v>
      </c>
      <c r="I43" s="32" t="s">
        <v>955</v>
      </c>
      <c r="J43" s="32" t="s">
        <v>55</v>
      </c>
    </row>
    <row r="44" customFormat="false" ht="23.85" hidden="false" customHeight="false" outlineLevel="0" collapsed="false">
      <c r="A44" s="31" t="s">
        <v>311</v>
      </c>
      <c r="B44" s="32" t="s">
        <v>48</v>
      </c>
      <c r="C44" s="32" t="s">
        <v>312</v>
      </c>
      <c r="D44" s="32" t="s">
        <v>313</v>
      </c>
      <c r="E44" s="32" t="s">
        <v>877</v>
      </c>
      <c r="F44" s="32" t="s">
        <v>956</v>
      </c>
      <c r="G44" s="32" t="s">
        <v>878</v>
      </c>
      <c r="H44" s="32" t="s">
        <v>957</v>
      </c>
      <c r="I44" s="32" t="s">
        <v>958</v>
      </c>
      <c r="J44" s="32" t="s">
        <v>55</v>
      </c>
    </row>
    <row r="45" customFormat="false" ht="23.85" hidden="false" customHeight="false" outlineLevel="0" collapsed="false">
      <c r="A45" s="31" t="s">
        <v>319</v>
      </c>
      <c r="B45" s="32" t="s">
        <v>48</v>
      </c>
      <c r="C45" s="32" t="s">
        <v>312</v>
      </c>
      <c r="D45" s="32" t="s">
        <v>320</v>
      </c>
      <c r="E45" s="32" t="s">
        <v>873</v>
      </c>
      <c r="F45" s="32" t="s">
        <v>959</v>
      </c>
      <c r="G45" s="32" t="s">
        <v>874</v>
      </c>
      <c r="H45" s="32" t="s">
        <v>55</v>
      </c>
      <c r="I45" s="32" t="s">
        <v>55</v>
      </c>
      <c r="J45" s="32" t="s">
        <v>321</v>
      </c>
    </row>
    <row r="46" customFormat="false" ht="23.85" hidden="false" customHeight="false" outlineLevel="0" collapsed="false">
      <c r="A46" s="31" t="s">
        <v>328</v>
      </c>
      <c r="B46" s="32" t="s">
        <v>48</v>
      </c>
      <c r="C46" s="32" t="s">
        <v>312</v>
      </c>
      <c r="D46" s="32" t="s">
        <v>329</v>
      </c>
      <c r="E46" s="32" t="s">
        <v>877</v>
      </c>
      <c r="F46" s="32" t="s">
        <v>960</v>
      </c>
      <c r="G46" s="32" t="s">
        <v>874</v>
      </c>
      <c r="H46" s="32" t="s">
        <v>55</v>
      </c>
      <c r="I46" s="32" t="s">
        <v>961</v>
      </c>
      <c r="J46" s="32" t="s">
        <v>330</v>
      </c>
    </row>
    <row r="47" customFormat="false" ht="23.85" hidden="false" customHeight="false" outlineLevel="0" collapsed="false">
      <c r="A47" s="31" t="s">
        <v>337</v>
      </c>
      <c r="B47" s="32" t="s">
        <v>48</v>
      </c>
      <c r="C47" s="32" t="s">
        <v>312</v>
      </c>
      <c r="D47" s="32" t="s">
        <v>338</v>
      </c>
      <c r="E47" s="32" t="s">
        <v>877</v>
      </c>
      <c r="F47" s="32" t="s">
        <v>962</v>
      </c>
      <c r="G47" s="32" t="s">
        <v>878</v>
      </c>
      <c r="H47" s="32" t="s">
        <v>963</v>
      </c>
      <c r="I47" s="32" t="s">
        <v>964</v>
      </c>
      <c r="J47" s="32" t="s">
        <v>330</v>
      </c>
    </row>
    <row r="48" customFormat="false" ht="23.85" hidden="false" customHeight="false" outlineLevel="0" collapsed="false">
      <c r="A48" s="31" t="s">
        <v>343</v>
      </c>
      <c r="B48" s="32" t="s">
        <v>48</v>
      </c>
      <c r="C48" s="32" t="s">
        <v>344</v>
      </c>
      <c r="D48" s="32" t="s">
        <v>345</v>
      </c>
      <c r="E48" s="32" t="s">
        <v>885</v>
      </c>
      <c r="F48" s="32" t="s">
        <v>55</v>
      </c>
      <c r="G48" s="32" t="s">
        <v>882</v>
      </c>
      <c r="H48" s="32" t="s">
        <v>965</v>
      </c>
      <c r="I48" s="32" t="s">
        <v>966</v>
      </c>
      <c r="J48" s="32" t="s">
        <v>55</v>
      </c>
    </row>
    <row r="49" customFormat="false" ht="23.85" hidden="false" customHeight="false" outlineLevel="0" collapsed="false">
      <c r="A49" s="31" t="s">
        <v>350</v>
      </c>
      <c r="B49" s="32" t="s">
        <v>48</v>
      </c>
      <c r="C49" s="32" t="s">
        <v>344</v>
      </c>
      <c r="D49" s="32" t="s">
        <v>351</v>
      </c>
      <c r="E49" s="32" t="s">
        <v>885</v>
      </c>
      <c r="F49" s="32" t="s">
        <v>55</v>
      </c>
      <c r="G49" s="32" t="s">
        <v>882</v>
      </c>
      <c r="H49" s="32" t="s">
        <v>967</v>
      </c>
      <c r="I49" s="32" t="s">
        <v>968</v>
      </c>
      <c r="J49" s="32" t="s">
        <v>55</v>
      </c>
    </row>
    <row r="50" customFormat="false" ht="23.85" hidden="false" customHeight="false" outlineLevel="0" collapsed="false">
      <c r="A50" s="31" t="s">
        <v>357</v>
      </c>
      <c r="B50" s="32" t="s">
        <v>48</v>
      </c>
      <c r="C50" s="32" t="s">
        <v>344</v>
      </c>
      <c r="D50" s="32" t="s">
        <v>358</v>
      </c>
      <c r="E50" s="32" t="s">
        <v>885</v>
      </c>
      <c r="F50" s="32" t="s">
        <v>55</v>
      </c>
      <c r="G50" s="32" t="s">
        <v>878</v>
      </c>
      <c r="H50" s="32" t="s">
        <v>969</v>
      </c>
      <c r="I50" s="32" t="s">
        <v>970</v>
      </c>
      <c r="J50" s="32" t="s">
        <v>359</v>
      </c>
    </row>
    <row r="51" customFormat="false" ht="23.85" hidden="false" customHeight="false" outlineLevel="0" collapsed="false">
      <c r="A51" s="31" t="s">
        <v>366</v>
      </c>
      <c r="B51" s="32" t="s">
        <v>48</v>
      </c>
      <c r="C51" s="32" t="s">
        <v>344</v>
      </c>
      <c r="D51" s="32" t="s">
        <v>367</v>
      </c>
      <c r="E51" s="32" t="s">
        <v>877</v>
      </c>
      <c r="F51" s="32" t="s">
        <v>971</v>
      </c>
      <c r="G51" s="32" t="s">
        <v>874</v>
      </c>
      <c r="H51" s="32" t="s">
        <v>55</v>
      </c>
      <c r="I51" s="32" t="s">
        <v>972</v>
      </c>
      <c r="J51" s="32" t="s">
        <v>368</v>
      </c>
    </row>
    <row r="52" customFormat="false" ht="35.05" hidden="false" customHeight="false" outlineLevel="0" collapsed="false">
      <c r="A52" s="31" t="s">
        <v>375</v>
      </c>
      <c r="B52" s="32" t="s">
        <v>48</v>
      </c>
      <c r="C52" s="32" t="s">
        <v>376</v>
      </c>
      <c r="D52" s="32" t="s">
        <v>377</v>
      </c>
      <c r="E52" s="32" t="s">
        <v>877</v>
      </c>
      <c r="F52" s="32" t="s">
        <v>973</v>
      </c>
      <c r="G52" s="32" t="s">
        <v>878</v>
      </c>
      <c r="H52" s="32" t="s">
        <v>974</v>
      </c>
      <c r="I52" s="32" t="s">
        <v>975</v>
      </c>
      <c r="J52" s="32" t="s">
        <v>55</v>
      </c>
    </row>
    <row r="53" customFormat="false" ht="23.85" hidden="false" customHeight="false" outlineLevel="0" collapsed="false">
      <c r="A53" s="31" t="s">
        <v>383</v>
      </c>
      <c r="B53" s="32" t="s">
        <v>384</v>
      </c>
      <c r="C53" s="32" t="s">
        <v>385</v>
      </c>
      <c r="D53" s="32" t="s">
        <v>386</v>
      </c>
      <c r="E53" s="32" t="s">
        <v>877</v>
      </c>
      <c r="F53" s="32" t="s">
        <v>976</v>
      </c>
      <c r="G53" s="32" t="s">
        <v>878</v>
      </c>
      <c r="H53" s="32" t="s">
        <v>977</v>
      </c>
      <c r="I53" s="32" t="s">
        <v>978</v>
      </c>
      <c r="J53" s="32" t="s">
        <v>387</v>
      </c>
    </row>
    <row r="54" customFormat="false" ht="35.05" hidden="false" customHeight="false" outlineLevel="0" collapsed="false">
      <c r="A54" s="31" t="s">
        <v>393</v>
      </c>
      <c r="B54" s="32" t="s">
        <v>384</v>
      </c>
      <c r="C54" s="32" t="s">
        <v>385</v>
      </c>
      <c r="D54" s="32" t="s">
        <v>394</v>
      </c>
      <c r="E54" s="32" t="s">
        <v>885</v>
      </c>
      <c r="F54" s="32" t="s">
        <v>55</v>
      </c>
      <c r="G54" s="32" t="s">
        <v>878</v>
      </c>
      <c r="H54" s="32" t="s">
        <v>979</v>
      </c>
      <c r="I54" s="32" t="s">
        <v>980</v>
      </c>
      <c r="J54" s="32" t="s">
        <v>395</v>
      </c>
    </row>
    <row r="55" customFormat="false" ht="23.85" hidden="false" customHeight="false" outlineLevel="0" collapsed="false">
      <c r="A55" s="31" t="s">
        <v>401</v>
      </c>
      <c r="B55" s="32" t="s">
        <v>384</v>
      </c>
      <c r="C55" s="32" t="s">
        <v>385</v>
      </c>
      <c r="D55" s="32" t="s">
        <v>402</v>
      </c>
      <c r="E55" s="32" t="s">
        <v>877</v>
      </c>
      <c r="F55" s="32" t="s">
        <v>981</v>
      </c>
      <c r="G55" s="32" t="s">
        <v>878</v>
      </c>
      <c r="H55" s="32" t="s">
        <v>982</v>
      </c>
      <c r="I55" s="32" t="s">
        <v>983</v>
      </c>
      <c r="J55" s="32" t="s">
        <v>185</v>
      </c>
    </row>
    <row r="56" customFormat="false" ht="23.85" hidden="false" customHeight="false" outlineLevel="0" collapsed="false">
      <c r="A56" s="31" t="s">
        <v>406</v>
      </c>
      <c r="B56" s="32" t="s">
        <v>384</v>
      </c>
      <c r="C56" s="32" t="s">
        <v>385</v>
      </c>
      <c r="D56" s="32" t="s">
        <v>407</v>
      </c>
      <c r="E56" s="32" t="s">
        <v>885</v>
      </c>
      <c r="F56" s="32" t="s">
        <v>55</v>
      </c>
      <c r="G56" s="32" t="s">
        <v>878</v>
      </c>
      <c r="H56" s="32" t="s">
        <v>984</v>
      </c>
      <c r="I56" s="32" t="s">
        <v>985</v>
      </c>
      <c r="J56" s="32" t="s">
        <v>158</v>
      </c>
    </row>
    <row r="57" customFormat="false" ht="23.85" hidden="false" customHeight="false" outlineLevel="0" collapsed="false">
      <c r="A57" s="31" t="s">
        <v>410</v>
      </c>
      <c r="B57" s="32" t="s">
        <v>384</v>
      </c>
      <c r="C57" s="32" t="s">
        <v>385</v>
      </c>
      <c r="D57" s="32" t="s">
        <v>411</v>
      </c>
      <c r="E57" s="32" t="s">
        <v>885</v>
      </c>
      <c r="F57" s="32" t="s">
        <v>55</v>
      </c>
      <c r="G57" s="32" t="s">
        <v>878</v>
      </c>
      <c r="H57" s="32" t="s">
        <v>916</v>
      </c>
      <c r="I57" s="32" t="s">
        <v>986</v>
      </c>
      <c r="J57" s="32" t="s">
        <v>158</v>
      </c>
    </row>
    <row r="58" customFormat="false" ht="23.85" hidden="false" customHeight="false" outlineLevel="0" collapsed="false">
      <c r="A58" s="31" t="s">
        <v>415</v>
      </c>
      <c r="B58" s="32" t="s">
        <v>384</v>
      </c>
      <c r="C58" s="32" t="s">
        <v>385</v>
      </c>
      <c r="D58" s="32" t="s">
        <v>416</v>
      </c>
      <c r="E58" s="32" t="s">
        <v>885</v>
      </c>
      <c r="F58" s="32" t="s">
        <v>55</v>
      </c>
      <c r="G58" s="32" t="s">
        <v>882</v>
      </c>
      <c r="H58" s="32" t="s">
        <v>987</v>
      </c>
      <c r="I58" s="32" t="s">
        <v>988</v>
      </c>
      <c r="J58" s="32" t="s">
        <v>55</v>
      </c>
    </row>
    <row r="59" customFormat="false" ht="23.85" hidden="false" customHeight="false" outlineLevel="0" collapsed="false">
      <c r="A59" s="31" t="s">
        <v>421</v>
      </c>
      <c r="B59" s="32" t="s">
        <v>384</v>
      </c>
      <c r="C59" s="32" t="s">
        <v>385</v>
      </c>
      <c r="D59" s="32" t="s">
        <v>422</v>
      </c>
      <c r="E59" s="32" t="s">
        <v>885</v>
      </c>
      <c r="F59" s="32" t="s">
        <v>55</v>
      </c>
      <c r="G59" s="32" t="s">
        <v>878</v>
      </c>
      <c r="H59" s="32" t="s">
        <v>989</v>
      </c>
      <c r="I59" s="32" t="s">
        <v>990</v>
      </c>
      <c r="J59" s="32" t="s">
        <v>55</v>
      </c>
    </row>
    <row r="60" customFormat="false" ht="15" hidden="false" customHeight="false" outlineLevel="0" collapsed="false">
      <c r="A60" s="31" t="s">
        <v>426</v>
      </c>
      <c r="B60" s="32" t="s">
        <v>384</v>
      </c>
      <c r="C60" s="32" t="s">
        <v>385</v>
      </c>
      <c r="D60" s="32" t="s">
        <v>427</v>
      </c>
      <c r="E60" s="32" t="s">
        <v>885</v>
      </c>
      <c r="F60" s="32" t="s">
        <v>55</v>
      </c>
      <c r="G60" s="32" t="s">
        <v>882</v>
      </c>
      <c r="H60" s="32" t="s">
        <v>952</v>
      </c>
      <c r="I60" s="32" t="s">
        <v>991</v>
      </c>
      <c r="J60" s="32" t="s">
        <v>292</v>
      </c>
    </row>
    <row r="61" customFormat="false" ht="23.85" hidden="false" customHeight="false" outlineLevel="0" collapsed="false">
      <c r="A61" s="31" t="s">
        <v>430</v>
      </c>
      <c r="B61" s="32" t="s">
        <v>384</v>
      </c>
      <c r="C61" s="32" t="s">
        <v>385</v>
      </c>
      <c r="D61" s="32" t="s">
        <v>431</v>
      </c>
      <c r="E61" s="32" t="s">
        <v>885</v>
      </c>
      <c r="F61" s="32" t="s">
        <v>55</v>
      </c>
      <c r="G61" s="32" t="s">
        <v>882</v>
      </c>
      <c r="H61" s="32" t="s">
        <v>965</v>
      </c>
      <c r="I61" s="32" t="s">
        <v>992</v>
      </c>
      <c r="J61" s="32" t="s">
        <v>55</v>
      </c>
    </row>
    <row r="62" customFormat="false" ht="15" hidden="false" customHeight="false" outlineLevel="0" collapsed="false">
      <c r="A62" s="31" t="s">
        <v>437</v>
      </c>
      <c r="B62" s="32" t="s">
        <v>384</v>
      </c>
      <c r="C62" s="32" t="s">
        <v>385</v>
      </c>
      <c r="D62" s="32" t="s">
        <v>438</v>
      </c>
      <c r="E62" s="32" t="s">
        <v>885</v>
      </c>
      <c r="F62" s="32" t="s">
        <v>55</v>
      </c>
      <c r="G62" s="32" t="s">
        <v>878</v>
      </c>
      <c r="H62" s="32" t="s">
        <v>957</v>
      </c>
      <c r="I62" s="32" t="s">
        <v>993</v>
      </c>
      <c r="J62" s="32" t="s">
        <v>55</v>
      </c>
    </row>
    <row r="63" customFormat="false" ht="23.85" hidden="false" customHeight="false" outlineLevel="0" collapsed="false">
      <c r="A63" s="31" t="s">
        <v>443</v>
      </c>
      <c r="B63" s="32" t="s">
        <v>444</v>
      </c>
      <c r="C63" s="32" t="s">
        <v>445</v>
      </c>
      <c r="D63" s="32" t="s">
        <v>446</v>
      </c>
      <c r="E63" s="32" t="s">
        <v>877</v>
      </c>
      <c r="F63" s="32" t="s">
        <v>994</v>
      </c>
      <c r="G63" s="32" t="s">
        <v>874</v>
      </c>
      <c r="H63" s="32" t="s">
        <v>55</v>
      </c>
      <c r="I63" s="32" t="s">
        <v>995</v>
      </c>
      <c r="J63" s="32" t="s">
        <v>55</v>
      </c>
    </row>
    <row r="64" customFormat="false" ht="23.85" hidden="false" customHeight="false" outlineLevel="0" collapsed="false">
      <c r="A64" s="31" t="s">
        <v>450</v>
      </c>
      <c r="B64" s="32" t="s">
        <v>444</v>
      </c>
      <c r="C64" s="32" t="s">
        <v>445</v>
      </c>
      <c r="D64" s="32" t="s">
        <v>451</v>
      </c>
      <c r="E64" s="32" t="s">
        <v>877</v>
      </c>
      <c r="F64" s="32" t="s">
        <v>996</v>
      </c>
      <c r="G64" s="32" t="s">
        <v>878</v>
      </c>
      <c r="H64" s="32" t="s">
        <v>997</v>
      </c>
      <c r="I64" s="32" t="s">
        <v>998</v>
      </c>
      <c r="J64" s="32" t="s">
        <v>55</v>
      </c>
    </row>
    <row r="65" customFormat="false" ht="23.85" hidden="false" customHeight="false" outlineLevel="0" collapsed="false">
      <c r="A65" s="31" t="s">
        <v>457</v>
      </c>
      <c r="B65" s="32" t="s">
        <v>444</v>
      </c>
      <c r="C65" s="32" t="s">
        <v>445</v>
      </c>
      <c r="D65" s="32" t="s">
        <v>458</v>
      </c>
      <c r="E65" s="32" t="s">
        <v>881</v>
      </c>
      <c r="F65" s="32" t="s">
        <v>999</v>
      </c>
      <c r="G65" s="32" t="s">
        <v>874</v>
      </c>
      <c r="H65" s="32" t="s">
        <v>55</v>
      </c>
      <c r="I65" s="32" t="s">
        <v>1000</v>
      </c>
      <c r="J65" s="32" t="s">
        <v>55</v>
      </c>
    </row>
    <row r="66" customFormat="false" ht="23.85" hidden="false" customHeight="false" outlineLevel="0" collapsed="false">
      <c r="A66" s="31" t="s">
        <v>462</v>
      </c>
      <c r="B66" s="32" t="s">
        <v>444</v>
      </c>
      <c r="C66" s="32" t="s">
        <v>445</v>
      </c>
      <c r="D66" s="32" t="s">
        <v>463</v>
      </c>
      <c r="E66" s="32" t="s">
        <v>877</v>
      </c>
      <c r="F66" s="32" t="s">
        <v>1001</v>
      </c>
      <c r="G66" s="32" t="s">
        <v>878</v>
      </c>
      <c r="H66" s="32" t="s">
        <v>1002</v>
      </c>
      <c r="I66" s="32" t="s">
        <v>1003</v>
      </c>
      <c r="J66" s="32" t="s">
        <v>55</v>
      </c>
    </row>
    <row r="67" customFormat="false" ht="23.85" hidden="false" customHeight="false" outlineLevel="0" collapsed="false">
      <c r="A67" s="31" t="s">
        <v>469</v>
      </c>
      <c r="B67" s="32" t="s">
        <v>444</v>
      </c>
      <c r="C67" s="32" t="s">
        <v>445</v>
      </c>
      <c r="D67" s="32" t="s">
        <v>470</v>
      </c>
      <c r="E67" s="32" t="s">
        <v>885</v>
      </c>
      <c r="F67" s="32" t="s">
        <v>55</v>
      </c>
      <c r="G67" s="32" t="s">
        <v>878</v>
      </c>
      <c r="H67" s="32" t="s">
        <v>1004</v>
      </c>
      <c r="I67" s="32" t="s">
        <v>1005</v>
      </c>
      <c r="J67" s="32" t="s">
        <v>55</v>
      </c>
    </row>
    <row r="68" customFormat="false" ht="23.85" hidden="false" customHeight="false" outlineLevel="0" collapsed="false">
      <c r="A68" s="31" t="s">
        <v>476</v>
      </c>
      <c r="B68" s="32" t="s">
        <v>477</v>
      </c>
      <c r="C68" s="32" t="s">
        <v>478</v>
      </c>
      <c r="D68" s="32" t="s">
        <v>479</v>
      </c>
      <c r="E68" s="32" t="s">
        <v>885</v>
      </c>
      <c r="F68" s="32" t="s">
        <v>55</v>
      </c>
      <c r="G68" s="32" t="s">
        <v>882</v>
      </c>
      <c r="H68" s="32" t="s">
        <v>1006</v>
      </c>
      <c r="I68" s="32" t="s">
        <v>1007</v>
      </c>
      <c r="J68" s="32" t="s">
        <v>55</v>
      </c>
    </row>
    <row r="69" customFormat="false" ht="23.85" hidden="false" customHeight="false" outlineLevel="0" collapsed="false">
      <c r="A69" s="31" t="s">
        <v>483</v>
      </c>
      <c r="B69" s="32" t="s">
        <v>477</v>
      </c>
      <c r="C69" s="32" t="s">
        <v>478</v>
      </c>
      <c r="D69" s="32" t="s">
        <v>484</v>
      </c>
      <c r="E69" s="32" t="s">
        <v>885</v>
      </c>
      <c r="F69" s="32" t="s">
        <v>55</v>
      </c>
      <c r="G69" s="32" t="s">
        <v>882</v>
      </c>
      <c r="H69" s="32" t="s">
        <v>1006</v>
      </c>
      <c r="I69" s="32" t="s">
        <v>1008</v>
      </c>
      <c r="J69" s="32" t="s">
        <v>55</v>
      </c>
    </row>
    <row r="70" customFormat="false" ht="23.85" hidden="false" customHeight="false" outlineLevel="0" collapsed="false">
      <c r="A70" s="31" t="s">
        <v>488</v>
      </c>
      <c r="B70" s="32" t="s">
        <v>477</v>
      </c>
      <c r="C70" s="32" t="s">
        <v>478</v>
      </c>
      <c r="D70" s="32" t="s">
        <v>489</v>
      </c>
      <c r="E70" s="32" t="s">
        <v>885</v>
      </c>
      <c r="F70" s="32" t="s">
        <v>55</v>
      </c>
      <c r="G70" s="32" t="s">
        <v>878</v>
      </c>
      <c r="H70" s="32" t="s">
        <v>1009</v>
      </c>
      <c r="I70" s="32" t="s">
        <v>1010</v>
      </c>
      <c r="J70" s="32" t="s">
        <v>55</v>
      </c>
    </row>
    <row r="71" customFormat="false" ht="23.85" hidden="false" customHeight="false" outlineLevel="0" collapsed="false">
      <c r="A71" s="31" t="s">
        <v>493</v>
      </c>
      <c r="B71" s="32" t="s">
        <v>477</v>
      </c>
      <c r="C71" s="32" t="s">
        <v>478</v>
      </c>
      <c r="D71" s="32" t="s">
        <v>494</v>
      </c>
      <c r="E71" s="32" t="s">
        <v>885</v>
      </c>
      <c r="F71" s="32" t="s">
        <v>55</v>
      </c>
      <c r="G71" s="32" t="s">
        <v>882</v>
      </c>
      <c r="H71" s="32" t="s">
        <v>1011</v>
      </c>
      <c r="I71" s="32" t="s">
        <v>1012</v>
      </c>
      <c r="J71" s="32" t="s">
        <v>55</v>
      </c>
    </row>
    <row r="72" customFormat="false" ht="23.85" hidden="false" customHeight="false" outlineLevel="0" collapsed="false">
      <c r="A72" s="31" t="s">
        <v>499</v>
      </c>
      <c r="B72" s="32" t="s">
        <v>477</v>
      </c>
      <c r="C72" s="32" t="s">
        <v>478</v>
      </c>
      <c r="D72" s="32" t="s">
        <v>500</v>
      </c>
      <c r="E72" s="32" t="s">
        <v>885</v>
      </c>
      <c r="F72" s="32" t="s">
        <v>55</v>
      </c>
      <c r="G72" s="32" t="s">
        <v>882</v>
      </c>
      <c r="H72" s="32" t="s">
        <v>1006</v>
      </c>
      <c r="I72" s="32" t="s">
        <v>1013</v>
      </c>
      <c r="J72" s="32" t="s">
        <v>55</v>
      </c>
    </row>
    <row r="73" customFormat="false" ht="15" hidden="false" customHeight="false" outlineLevel="0" collapsed="false">
      <c r="A73" s="31" t="s">
        <v>503</v>
      </c>
      <c r="B73" s="32" t="s">
        <v>477</v>
      </c>
      <c r="C73" s="32" t="s">
        <v>504</v>
      </c>
      <c r="D73" s="32" t="s">
        <v>505</v>
      </c>
      <c r="E73" s="32" t="s">
        <v>885</v>
      </c>
      <c r="F73" s="32" t="s">
        <v>55</v>
      </c>
      <c r="G73" s="32" t="s">
        <v>882</v>
      </c>
      <c r="H73" s="32" t="s">
        <v>1006</v>
      </c>
      <c r="I73" s="32" t="s">
        <v>1014</v>
      </c>
      <c r="J73" s="32" t="s">
        <v>55</v>
      </c>
    </row>
    <row r="74" customFormat="false" ht="23.85" hidden="false" customHeight="false" outlineLevel="0" collapsed="false">
      <c r="A74" s="31" t="s">
        <v>511</v>
      </c>
      <c r="B74" s="32" t="s">
        <v>477</v>
      </c>
      <c r="C74" s="32" t="s">
        <v>504</v>
      </c>
      <c r="D74" s="32" t="s">
        <v>512</v>
      </c>
      <c r="E74" s="32" t="s">
        <v>885</v>
      </c>
      <c r="F74" s="32" t="s">
        <v>55</v>
      </c>
      <c r="G74" s="32" t="s">
        <v>878</v>
      </c>
      <c r="H74" s="32" t="s">
        <v>1015</v>
      </c>
      <c r="I74" s="32" t="s">
        <v>1016</v>
      </c>
      <c r="J74" s="32" t="s">
        <v>55</v>
      </c>
    </row>
    <row r="75" customFormat="false" ht="23.85" hidden="false" customHeight="false" outlineLevel="0" collapsed="false">
      <c r="A75" s="31" t="s">
        <v>518</v>
      </c>
      <c r="B75" s="32" t="s">
        <v>477</v>
      </c>
      <c r="C75" s="32" t="s">
        <v>504</v>
      </c>
      <c r="D75" s="32" t="s">
        <v>519</v>
      </c>
      <c r="E75" s="32" t="s">
        <v>885</v>
      </c>
      <c r="F75" s="32" t="s">
        <v>55</v>
      </c>
      <c r="G75" s="32" t="s">
        <v>878</v>
      </c>
      <c r="H75" s="32" t="s">
        <v>1017</v>
      </c>
      <c r="I75" s="32" t="s">
        <v>1018</v>
      </c>
      <c r="J75" s="32" t="s">
        <v>55</v>
      </c>
    </row>
    <row r="76" customFormat="false" ht="23.85" hidden="false" customHeight="false" outlineLevel="0" collapsed="false">
      <c r="A76" s="31" t="s">
        <v>523</v>
      </c>
      <c r="B76" s="32" t="s">
        <v>477</v>
      </c>
      <c r="C76" s="32" t="s">
        <v>504</v>
      </c>
      <c r="D76" s="32" t="s">
        <v>524</v>
      </c>
      <c r="E76" s="32" t="s">
        <v>885</v>
      </c>
      <c r="F76" s="32" t="s">
        <v>55</v>
      </c>
      <c r="G76" s="32" t="s">
        <v>882</v>
      </c>
      <c r="H76" s="32" t="s">
        <v>1019</v>
      </c>
      <c r="I76" s="32" t="s">
        <v>1020</v>
      </c>
      <c r="J76" s="32" t="s">
        <v>55</v>
      </c>
    </row>
    <row r="77" customFormat="false" ht="23.85" hidden="false" customHeight="false" outlineLevel="0" collapsed="false">
      <c r="A77" s="31" t="s">
        <v>529</v>
      </c>
      <c r="B77" s="32" t="s">
        <v>477</v>
      </c>
      <c r="C77" s="32" t="s">
        <v>504</v>
      </c>
      <c r="D77" s="32" t="s">
        <v>530</v>
      </c>
      <c r="E77" s="32" t="s">
        <v>885</v>
      </c>
      <c r="F77" s="32" t="s">
        <v>55</v>
      </c>
      <c r="G77" s="32" t="s">
        <v>882</v>
      </c>
      <c r="H77" s="32" t="s">
        <v>595</v>
      </c>
      <c r="I77" s="32" t="s">
        <v>1021</v>
      </c>
      <c r="J77" s="32" t="s">
        <v>55</v>
      </c>
    </row>
    <row r="78" customFormat="false" ht="23.85" hidden="false" customHeight="false" outlineLevel="0" collapsed="false">
      <c r="A78" s="31" t="s">
        <v>534</v>
      </c>
      <c r="B78" s="32" t="s">
        <v>477</v>
      </c>
      <c r="C78" s="32" t="s">
        <v>504</v>
      </c>
      <c r="D78" s="32" t="s">
        <v>535</v>
      </c>
      <c r="E78" s="32" t="s">
        <v>885</v>
      </c>
      <c r="F78" s="32" t="s">
        <v>55</v>
      </c>
      <c r="G78" s="32" t="s">
        <v>882</v>
      </c>
      <c r="H78" s="32" t="s">
        <v>1022</v>
      </c>
      <c r="I78" s="32" t="s">
        <v>1023</v>
      </c>
      <c r="J78" s="32" t="s">
        <v>55</v>
      </c>
    </row>
    <row r="79" customFormat="false" ht="15" hidden="false" customHeight="false" outlineLevel="0" collapsed="false">
      <c r="A79" s="31" t="s">
        <v>539</v>
      </c>
      <c r="B79" s="32" t="s">
        <v>477</v>
      </c>
      <c r="C79" s="32" t="s">
        <v>504</v>
      </c>
      <c r="D79" s="32" t="s">
        <v>540</v>
      </c>
      <c r="E79" s="32" t="s">
        <v>885</v>
      </c>
      <c r="F79" s="32" t="s">
        <v>55</v>
      </c>
      <c r="G79" s="32" t="s">
        <v>878</v>
      </c>
      <c r="H79" s="32" t="s">
        <v>1024</v>
      </c>
      <c r="I79" s="32" t="s">
        <v>1025</v>
      </c>
      <c r="J79" s="32" t="s">
        <v>55</v>
      </c>
    </row>
    <row r="80" customFormat="false" ht="23.85" hidden="false" customHeight="false" outlineLevel="0" collapsed="false">
      <c r="A80" s="31" t="s">
        <v>542</v>
      </c>
      <c r="B80" s="32" t="s">
        <v>477</v>
      </c>
      <c r="C80" s="32" t="s">
        <v>504</v>
      </c>
      <c r="D80" s="32" t="s">
        <v>543</v>
      </c>
      <c r="E80" s="32" t="s">
        <v>885</v>
      </c>
      <c r="F80" s="32" t="s">
        <v>55</v>
      </c>
      <c r="G80" s="32" t="s">
        <v>882</v>
      </c>
      <c r="H80" s="32" t="s">
        <v>1026</v>
      </c>
      <c r="I80" s="32" t="s">
        <v>1027</v>
      </c>
      <c r="J80" s="32" t="s">
        <v>55</v>
      </c>
    </row>
    <row r="81" customFormat="false" ht="23.85" hidden="false" customHeight="false" outlineLevel="0" collapsed="false">
      <c r="A81" s="31" t="s">
        <v>547</v>
      </c>
      <c r="B81" s="32" t="s">
        <v>477</v>
      </c>
      <c r="C81" s="32" t="s">
        <v>548</v>
      </c>
      <c r="D81" s="32" t="s">
        <v>549</v>
      </c>
      <c r="E81" s="32" t="s">
        <v>885</v>
      </c>
      <c r="F81" s="32" t="s">
        <v>55</v>
      </c>
      <c r="G81" s="32" t="s">
        <v>878</v>
      </c>
      <c r="H81" s="32" t="s">
        <v>1028</v>
      </c>
      <c r="I81" s="32" t="s">
        <v>1029</v>
      </c>
      <c r="J81" s="32" t="s">
        <v>55</v>
      </c>
    </row>
    <row r="82" customFormat="false" ht="15" hidden="false" customHeight="false" outlineLevel="0" collapsed="false">
      <c r="A82" s="31" t="s">
        <v>554</v>
      </c>
      <c r="B82" s="32" t="s">
        <v>477</v>
      </c>
      <c r="C82" s="32" t="s">
        <v>548</v>
      </c>
      <c r="D82" s="32" t="s">
        <v>555</v>
      </c>
      <c r="E82" s="32" t="s">
        <v>885</v>
      </c>
      <c r="F82" s="32" t="s">
        <v>55</v>
      </c>
      <c r="G82" s="32" t="s">
        <v>882</v>
      </c>
      <c r="H82" s="32" t="s">
        <v>1030</v>
      </c>
      <c r="I82" s="32" t="s">
        <v>1031</v>
      </c>
      <c r="J82" s="32" t="s">
        <v>55</v>
      </c>
    </row>
    <row r="83" customFormat="false" ht="15" hidden="false" customHeight="false" outlineLevel="0" collapsed="false">
      <c r="A83" s="31" t="s">
        <v>559</v>
      </c>
      <c r="B83" s="32" t="s">
        <v>477</v>
      </c>
      <c r="C83" s="32" t="s">
        <v>548</v>
      </c>
      <c r="D83" s="32" t="s">
        <v>560</v>
      </c>
      <c r="E83" s="32" t="s">
        <v>885</v>
      </c>
      <c r="F83" s="32" t="s">
        <v>55</v>
      </c>
      <c r="G83" s="32" t="s">
        <v>874</v>
      </c>
      <c r="H83" s="32" t="s">
        <v>55</v>
      </c>
      <c r="I83" s="32" t="s">
        <v>1032</v>
      </c>
      <c r="J83" s="32" t="s">
        <v>55</v>
      </c>
    </row>
    <row r="84" customFormat="false" ht="23.85" hidden="false" customHeight="false" outlineLevel="0" collapsed="false">
      <c r="A84" s="31" t="s">
        <v>564</v>
      </c>
      <c r="B84" s="32" t="s">
        <v>477</v>
      </c>
      <c r="C84" s="32" t="s">
        <v>565</v>
      </c>
      <c r="D84" s="32" t="s">
        <v>566</v>
      </c>
      <c r="E84" s="32" t="s">
        <v>885</v>
      </c>
      <c r="F84" s="32" t="s">
        <v>55</v>
      </c>
      <c r="G84" s="32" t="s">
        <v>882</v>
      </c>
      <c r="H84" s="32" t="s">
        <v>1015</v>
      </c>
      <c r="I84" s="32" t="s">
        <v>1033</v>
      </c>
      <c r="J84" s="32" t="s">
        <v>55</v>
      </c>
    </row>
    <row r="85" customFormat="false" ht="23.85" hidden="false" customHeight="false" outlineLevel="0" collapsed="false">
      <c r="A85" s="31" t="s">
        <v>572</v>
      </c>
      <c r="B85" s="32" t="s">
        <v>477</v>
      </c>
      <c r="C85" s="32" t="s">
        <v>565</v>
      </c>
      <c r="D85" s="32" t="s">
        <v>573</v>
      </c>
      <c r="E85" s="32" t="s">
        <v>885</v>
      </c>
      <c r="F85" s="32" t="s">
        <v>55</v>
      </c>
      <c r="G85" s="32" t="s">
        <v>882</v>
      </c>
      <c r="H85" s="32" t="s">
        <v>1015</v>
      </c>
      <c r="I85" s="32" t="s">
        <v>1034</v>
      </c>
      <c r="J85" s="32" t="s">
        <v>55</v>
      </c>
    </row>
    <row r="86" customFormat="false" ht="35.05" hidden="false" customHeight="false" outlineLevel="0" collapsed="false">
      <c r="A86" s="31" t="s">
        <v>576</v>
      </c>
      <c r="B86" s="32" t="s">
        <v>477</v>
      </c>
      <c r="C86" s="32" t="s">
        <v>565</v>
      </c>
      <c r="D86" s="32" t="s">
        <v>577</v>
      </c>
      <c r="E86" s="32" t="s">
        <v>877</v>
      </c>
      <c r="F86" s="32" t="s">
        <v>1035</v>
      </c>
      <c r="G86" s="32" t="s">
        <v>874</v>
      </c>
      <c r="H86" s="32" t="s">
        <v>55</v>
      </c>
      <c r="I86" s="32" t="s">
        <v>1036</v>
      </c>
      <c r="J86" s="32" t="s">
        <v>55</v>
      </c>
    </row>
    <row r="87" customFormat="false" ht="23.85" hidden="false" customHeight="false" outlineLevel="0" collapsed="false">
      <c r="A87" s="31" t="s">
        <v>582</v>
      </c>
      <c r="B87" s="32" t="s">
        <v>477</v>
      </c>
      <c r="C87" s="32" t="s">
        <v>565</v>
      </c>
      <c r="D87" s="32" t="s">
        <v>583</v>
      </c>
      <c r="E87" s="32" t="s">
        <v>885</v>
      </c>
      <c r="F87" s="32" t="s">
        <v>55</v>
      </c>
      <c r="G87" s="32" t="s">
        <v>878</v>
      </c>
      <c r="H87" s="32" t="s">
        <v>1037</v>
      </c>
      <c r="I87" s="32" t="s">
        <v>1038</v>
      </c>
      <c r="J87" s="32" t="s">
        <v>55</v>
      </c>
    </row>
    <row r="88" customFormat="false" ht="23.85" hidden="false" customHeight="false" outlineLevel="0" collapsed="false">
      <c r="A88" s="31" t="s">
        <v>588</v>
      </c>
      <c r="B88" s="32" t="s">
        <v>477</v>
      </c>
      <c r="C88" s="32" t="s">
        <v>565</v>
      </c>
      <c r="D88" s="32" t="s">
        <v>589</v>
      </c>
      <c r="E88" s="32" t="s">
        <v>885</v>
      </c>
      <c r="F88" s="32" t="s">
        <v>55</v>
      </c>
      <c r="G88" s="32" t="s">
        <v>878</v>
      </c>
      <c r="H88" s="32" t="s">
        <v>1037</v>
      </c>
      <c r="I88" s="32" t="s">
        <v>1039</v>
      </c>
      <c r="J88" s="32" t="s">
        <v>55</v>
      </c>
    </row>
    <row r="89" customFormat="false" ht="23.85" hidden="false" customHeight="false" outlineLevel="0" collapsed="false">
      <c r="A89" s="31" t="s">
        <v>594</v>
      </c>
      <c r="B89" s="32" t="s">
        <v>595</v>
      </c>
      <c r="C89" s="32" t="s">
        <v>596</v>
      </c>
      <c r="D89" s="32" t="s">
        <v>597</v>
      </c>
      <c r="E89" s="32" t="s">
        <v>888</v>
      </c>
      <c r="F89" s="32" t="s">
        <v>55</v>
      </c>
      <c r="G89" s="32" t="s">
        <v>882</v>
      </c>
      <c r="H89" s="32" t="s">
        <v>1040</v>
      </c>
      <c r="I89" s="32" t="s">
        <v>1041</v>
      </c>
      <c r="J89" s="32" t="s">
        <v>55</v>
      </c>
    </row>
    <row r="90" customFormat="false" ht="35.05" hidden="false" customHeight="false" outlineLevel="0" collapsed="false">
      <c r="A90" s="31" t="s">
        <v>600</v>
      </c>
      <c r="B90" s="32" t="s">
        <v>595</v>
      </c>
      <c r="C90" s="32" t="s">
        <v>596</v>
      </c>
      <c r="D90" s="32" t="s">
        <v>601</v>
      </c>
      <c r="E90" s="32" t="s">
        <v>888</v>
      </c>
      <c r="F90" s="32" t="s">
        <v>55</v>
      </c>
      <c r="G90" s="32" t="s">
        <v>882</v>
      </c>
      <c r="H90" s="32" t="s">
        <v>1040</v>
      </c>
      <c r="I90" s="32" t="s">
        <v>1041</v>
      </c>
      <c r="J90" s="32" t="s">
        <v>55</v>
      </c>
    </row>
    <row r="91" customFormat="false" ht="23.85" hidden="false" customHeight="false" outlineLevel="0" collapsed="false">
      <c r="A91" s="31" t="s">
        <v>603</v>
      </c>
      <c r="B91" s="32" t="s">
        <v>595</v>
      </c>
      <c r="C91" s="32" t="s">
        <v>604</v>
      </c>
      <c r="D91" s="32" t="s">
        <v>605</v>
      </c>
      <c r="E91" s="32" t="s">
        <v>888</v>
      </c>
      <c r="F91" s="32" t="s">
        <v>55</v>
      </c>
      <c r="G91" s="32" t="s">
        <v>882</v>
      </c>
      <c r="H91" s="32" t="s">
        <v>1040</v>
      </c>
      <c r="I91" s="32" t="s">
        <v>1041</v>
      </c>
      <c r="J91" s="32" t="s">
        <v>55</v>
      </c>
    </row>
    <row r="92" customFormat="false" ht="23.85" hidden="false" customHeight="false" outlineLevel="0" collapsed="false">
      <c r="A92" s="31" t="s">
        <v>608</v>
      </c>
      <c r="B92" s="32" t="s">
        <v>595</v>
      </c>
      <c r="C92" s="32" t="s">
        <v>604</v>
      </c>
      <c r="D92" s="32" t="s">
        <v>609</v>
      </c>
      <c r="E92" s="32" t="s">
        <v>888</v>
      </c>
      <c r="F92" s="32" t="s">
        <v>55</v>
      </c>
      <c r="G92" s="32" t="s">
        <v>882</v>
      </c>
      <c r="H92" s="32" t="s">
        <v>1040</v>
      </c>
      <c r="I92" s="32" t="s">
        <v>1041</v>
      </c>
      <c r="J92" s="32" t="s">
        <v>55</v>
      </c>
    </row>
    <row r="93" customFormat="false" ht="23.85" hidden="false" customHeight="false" outlineLevel="0" collapsed="false">
      <c r="A93" s="31" t="s">
        <v>611</v>
      </c>
      <c r="B93" s="32" t="s">
        <v>595</v>
      </c>
      <c r="C93" s="32" t="s">
        <v>604</v>
      </c>
      <c r="D93" s="32" t="s">
        <v>612</v>
      </c>
      <c r="E93" s="32" t="s">
        <v>888</v>
      </c>
      <c r="F93" s="32" t="s">
        <v>55</v>
      </c>
      <c r="G93" s="32" t="s">
        <v>882</v>
      </c>
      <c r="H93" s="32" t="s">
        <v>1040</v>
      </c>
      <c r="I93" s="32" t="s">
        <v>1041</v>
      </c>
      <c r="J93" s="32" t="s">
        <v>55</v>
      </c>
    </row>
    <row r="94" customFormat="false" ht="23.85" hidden="false" customHeight="false" outlineLevel="0" collapsed="false">
      <c r="A94" s="31" t="s">
        <v>615</v>
      </c>
      <c r="B94" s="32" t="s">
        <v>595</v>
      </c>
      <c r="C94" s="32" t="s">
        <v>604</v>
      </c>
      <c r="D94" s="32" t="s">
        <v>616</v>
      </c>
      <c r="E94" s="32" t="s">
        <v>888</v>
      </c>
      <c r="F94" s="32" t="s">
        <v>55</v>
      </c>
      <c r="G94" s="32" t="s">
        <v>882</v>
      </c>
      <c r="H94" s="32" t="s">
        <v>1040</v>
      </c>
      <c r="I94" s="32" t="s">
        <v>1041</v>
      </c>
      <c r="J94" s="32" t="s">
        <v>55</v>
      </c>
    </row>
    <row r="95" customFormat="false" ht="23.85" hidden="false" customHeight="false" outlineLevel="0" collapsed="false">
      <c r="A95" s="31" t="s">
        <v>618</v>
      </c>
      <c r="B95" s="32" t="s">
        <v>595</v>
      </c>
      <c r="C95" s="32" t="s">
        <v>619</v>
      </c>
      <c r="D95" s="32" t="s">
        <v>620</v>
      </c>
      <c r="E95" s="32" t="s">
        <v>888</v>
      </c>
      <c r="F95" s="32" t="s">
        <v>55</v>
      </c>
      <c r="G95" s="32" t="s">
        <v>882</v>
      </c>
      <c r="H95" s="32" t="s">
        <v>1040</v>
      </c>
      <c r="I95" s="32" t="s">
        <v>1041</v>
      </c>
      <c r="J95" s="32" t="s">
        <v>55</v>
      </c>
    </row>
    <row r="96" customFormat="false" ht="23.85" hidden="false" customHeight="false" outlineLevel="0" collapsed="false">
      <c r="A96" s="31" t="s">
        <v>622</v>
      </c>
      <c r="B96" s="32" t="s">
        <v>595</v>
      </c>
      <c r="C96" s="32" t="s">
        <v>619</v>
      </c>
      <c r="D96" s="32" t="s">
        <v>623</v>
      </c>
      <c r="E96" s="32" t="s">
        <v>888</v>
      </c>
      <c r="F96" s="32" t="s">
        <v>55</v>
      </c>
      <c r="G96" s="32" t="s">
        <v>882</v>
      </c>
      <c r="H96" s="32" t="s">
        <v>1040</v>
      </c>
      <c r="I96" s="32" t="s">
        <v>1041</v>
      </c>
      <c r="J96" s="32" t="s">
        <v>55</v>
      </c>
    </row>
    <row r="97" customFormat="false" ht="23.85" hidden="false" customHeight="false" outlineLevel="0" collapsed="false">
      <c r="A97" s="31" t="s">
        <v>626</v>
      </c>
      <c r="B97" s="32" t="s">
        <v>595</v>
      </c>
      <c r="C97" s="32" t="s">
        <v>619</v>
      </c>
      <c r="D97" s="32" t="s">
        <v>627</v>
      </c>
      <c r="E97" s="32" t="s">
        <v>888</v>
      </c>
      <c r="F97" s="32" t="s">
        <v>55</v>
      </c>
      <c r="G97" s="32" t="s">
        <v>882</v>
      </c>
      <c r="H97" s="32" t="s">
        <v>1040</v>
      </c>
      <c r="I97" s="32" t="s">
        <v>1041</v>
      </c>
      <c r="J97" s="32" t="s">
        <v>55</v>
      </c>
    </row>
    <row r="98" customFormat="false" ht="23.85" hidden="false" customHeight="false" outlineLevel="0" collapsed="false">
      <c r="A98" s="31" t="s">
        <v>630</v>
      </c>
      <c r="B98" s="32" t="s">
        <v>595</v>
      </c>
      <c r="C98" s="32" t="s">
        <v>619</v>
      </c>
      <c r="D98" s="32" t="s">
        <v>631</v>
      </c>
      <c r="E98" s="32" t="s">
        <v>888</v>
      </c>
      <c r="F98" s="32" t="s">
        <v>55</v>
      </c>
      <c r="G98" s="32" t="s">
        <v>882</v>
      </c>
      <c r="H98" s="32" t="s">
        <v>1040</v>
      </c>
      <c r="I98" s="32" t="s">
        <v>1041</v>
      </c>
      <c r="J98" s="32" t="s">
        <v>55</v>
      </c>
    </row>
    <row r="99" customFormat="false" ht="23.85" hidden="false" customHeight="false" outlineLevel="0" collapsed="false">
      <c r="A99" s="31" t="s">
        <v>633</v>
      </c>
      <c r="B99" s="32" t="s">
        <v>595</v>
      </c>
      <c r="C99" s="32" t="s">
        <v>634</v>
      </c>
      <c r="D99" s="32" t="s">
        <v>635</v>
      </c>
      <c r="E99" s="32" t="s">
        <v>888</v>
      </c>
      <c r="F99" s="32" t="s">
        <v>55</v>
      </c>
      <c r="G99" s="32" t="s">
        <v>882</v>
      </c>
      <c r="H99" s="32" t="s">
        <v>1040</v>
      </c>
      <c r="I99" s="32" t="s">
        <v>1041</v>
      </c>
      <c r="J99" s="32" t="s">
        <v>55</v>
      </c>
    </row>
    <row r="100" customFormat="false" ht="23.85" hidden="false" customHeight="false" outlineLevel="0" collapsed="false">
      <c r="A100" s="31" t="s">
        <v>636</v>
      </c>
      <c r="B100" s="32" t="s">
        <v>595</v>
      </c>
      <c r="C100" s="32" t="s">
        <v>637</v>
      </c>
      <c r="D100" s="32" t="s">
        <v>638</v>
      </c>
      <c r="E100" s="32" t="s">
        <v>888</v>
      </c>
      <c r="F100" s="32" t="s">
        <v>55</v>
      </c>
      <c r="G100" s="32" t="s">
        <v>882</v>
      </c>
      <c r="H100" s="32" t="s">
        <v>1040</v>
      </c>
      <c r="I100" s="32" t="s">
        <v>1041</v>
      </c>
      <c r="J100" s="32" t="s">
        <v>55</v>
      </c>
    </row>
    <row r="101" customFormat="false" ht="23.85" hidden="false" customHeight="false" outlineLevel="0" collapsed="false">
      <c r="A101" s="31" t="s">
        <v>640</v>
      </c>
      <c r="B101" s="32" t="s">
        <v>641</v>
      </c>
      <c r="C101" s="32" t="s">
        <v>642</v>
      </c>
      <c r="D101" s="32" t="s">
        <v>643</v>
      </c>
      <c r="E101" s="32" t="s">
        <v>885</v>
      </c>
      <c r="F101" s="32" t="s">
        <v>55</v>
      </c>
      <c r="G101" s="32" t="s">
        <v>878</v>
      </c>
      <c r="H101" s="32" t="s">
        <v>1042</v>
      </c>
      <c r="I101" s="32" t="s">
        <v>1043</v>
      </c>
      <c r="J101" s="32" t="s">
        <v>644</v>
      </c>
    </row>
    <row r="102" customFormat="false" ht="15" hidden="false" customHeight="false" outlineLevel="0" collapsed="false">
      <c r="A102" s="31" t="s">
        <v>651</v>
      </c>
      <c r="B102" s="32" t="s">
        <v>641</v>
      </c>
      <c r="C102" s="32" t="s">
        <v>642</v>
      </c>
      <c r="D102" s="32" t="s">
        <v>652</v>
      </c>
      <c r="E102" s="32" t="s">
        <v>885</v>
      </c>
      <c r="F102" s="32" t="s">
        <v>55</v>
      </c>
      <c r="G102" s="32" t="s">
        <v>882</v>
      </c>
      <c r="H102" s="32" t="s">
        <v>1044</v>
      </c>
      <c r="I102" s="32" t="s">
        <v>1045</v>
      </c>
      <c r="J102" s="32" t="s">
        <v>644</v>
      </c>
    </row>
    <row r="103" customFormat="false" ht="23.85" hidden="false" customHeight="false" outlineLevel="0" collapsed="false">
      <c r="A103" s="31" t="s">
        <v>656</v>
      </c>
      <c r="B103" s="32" t="s">
        <v>641</v>
      </c>
      <c r="C103" s="32" t="s">
        <v>642</v>
      </c>
      <c r="D103" s="32" t="s">
        <v>657</v>
      </c>
      <c r="E103" s="32" t="s">
        <v>885</v>
      </c>
      <c r="F103" s="32" t="s">
        <v>55</v>
      </c>
      <c r="G103" s="32" t="s">
        <v>878</v>
      </c>
      <c r="H103" s="32" t="s">
        <v>1046</v>
      </c>
      <c r="I103" s="32" t="s">
        <v>1047</v>
      </c>
      <c r="J103" s="32" t="s">
        <v>644</v>
      </c>
    </row>
    <row r="104" customFormat="false" ht="23.85" hidden="false" customHeight="false" outlineLevel="0" collapsed="false">
      <c r="A104" s="31" t="s">
        <v>661</v>
      </c>
      <c r="B104" s="32" t="s">
        <v>641</v>
      </c>
      <c r="C104" s="32" t="s">
        <v>642</v>
      </c>
      <c r="D104" s="32" t="s">
        <v>662</v>
      </c>
      <c r="E104" s="32" t="s">
        <v>877</v>
      </c>
      <c r="F104" s="32" t="s">
        <v>1048</v>
      </c>
      <c r="G104" s="32" t="s">
        <v>874</v>
      </c>
      <c r="H104" s="32" t="s">
        <v>55</v>
      </c>
      <c r="I104" s="32" t="s">
        <v>1049</v>
      </c>
      <c r="J104" s="32" t="s">
        <v>644</v>
      </c>
    </row>
    <row r="105" customFormat="false" ht="23.85" hidden="false" customHeight="false" outlineLevel="0" collapsed="false">
      <c r="A105" s="31" t="s">
        <v>667</v>
      </c>
      <c r="B105" s="32" t="s">
        <v>641</v>
      </c>
      <c r="C105" s="32" t="s">
        <v>642</v>
      </c>
      <c r="D105" s="32" t="s">
        <v>668</v>
      </c>
      <c r="E105" s="32" t="s">
        <v>885</v>
      </c>
      <c r="F105" s="32" t="s">
        <v>55</v>
      </c>
      <c r="G105" s="32" t="s">
        <v>882</v>
      </c>
      <c r="H105" s="32" t="s">
        <v>1050</v>
      </c>
      <c r="I105" s="32" t="s">
        <v>1051</v>
      </c>
      <c r="J105" s="32" t="s">
        <v>644</v>
      </c>
    </row>
    <row r="106" customFormat="false" ht="15" hidden="false" customHeight="false" outlineLevel="0" collapsed="false">
      <c r="A106" s="31" t="s">
        <v>672</v>
      </c>
      <c r="B106" s="32" t="s">
        <v>641</v>
      </c>
      <c r="C106" s="32" t="s">
        <v>642</v>
      </c>
      <c r="D106" s="32" t="s">
        <v>673</v>
      </c>
      <c r="E106" s="32" t="s">
        <v>885</v>
      </c>
      <c r="F106" s="32" t="s">
        <v>55</v>
      </c>
      <c r="G106" s="32" t="s">
        <v>882</v>
      </c>
      <c r="H106" s="32" t="s">
        <v>1052</v>
      </c>
      <c r="I106" s="32" t="s">
        <v>1053</v>
      </c>
      <c r="J106" s="32" t="s">
        <v>644</v>
      </c>
    </row>
    <row r="107" customFormat="false" ht="15" hidden="false" customHeight="false" outlineLevel="0" collapsed="false">
      <c r="A107" s="31" t="s">
        <v>677</v>
      </c>
      <c r="B107" s="32" t="s">
        <v>641</v>
      </c>
      <c r="C107" s="32" t="s">
        <v>642</v>
      </c>
      <c r="D107" s="32" t="s">
        <v>678</v>
      </c>
      <c r="E107" s="32" t="s">
        <v>885</v>
      </c>
      <c r="F107" s="32" t="s">
        <v>55</v>
      </c>
      <c r="G107" s="32" t="s">
        <v>882</v>
      </c>
      <c r="H107" s="32" t="s">
        <v>1052</v>
      </c>
      <c r="I107" s="32" t="s">
        <v>1054</v>
      </c>
      <c r="J107" s="32" t="s">
        <v>644</v>
      </c>
    </row>
    <row r="108" customFormat="false" ht="23.85" hidden="false" customHeight="false" outlineLevel="0" collapsed="false">
      <c r="A108" s="31" t="s">
        <v>680</v>
      </c>
      <c r="B108" s="32" t="s">
        <v>641</v>
      </c>
      <c r="C108" s="32" t="s">
        <v>642</v>
      </c>
      <c r="D108" s="32" t="s">
        <v>681</v>
      </c>
      <c r="E108" s="32" t="s">
        <v>885</v>
      </c>
      <c r="F108" s="32" t="s">
        <v>55</v>
      </c>
      <c r="G108" s="32" t="s">
        <v>882</v>
      </c>
      <c r="H108" s="32" t="s">
        <v>1052</v>
      </c>
      <c r="I108" s="32" t="s">
        <v>1055</v>
      </c>
      <c r="J108" s="32" t="s">
        <v>644</v>
      </c>
    </row>
    <row r="109" customFormat="false" ht="23.85" hidden="false" customHeight="false" outlineLevel="0" collapsed="false">
      <c r="A109" s="31" t="s">
        <v>683</v>
      </c>
      <c r="B109" s="32" t="s">
        <v>684</v>
      </c>
      <c r="C109" s="32" t="s">
        <v>685</v>
      </c>
      <c r="D109" s="32" t="s">
        <v>686</v>
      </c>
      <c r="E109" s="32" t="s">
        <v>888</v>
      </c>
      <c r="F109" s="32" t="s">
        <v>55</v>
      </c>
      <c r="G109" s="32" t="s">
        <v>882</v>
      </c>
      <c r="H109" s="32" t="s">
        <v>1056</v>
      </c>
      <c r="I109" s="32" t="s">
        <v>1057</v>
      </c>
      <c r="J109" s="32" t="s">
        <v>55</v>
      </c>
    </row>
    <row r="110" customFormat="false" ht="23.85" hidden="false" customHeight="false" outlineLevel="0" collapsed="false">
      <c r="A110" s="31" t="s">
        <v>689</v>
      </c>
      <c r="B110" s="32" t="s">
        <v>684</v>
      </c>
      <c r="C110" s="32" t="s">
        <v>690</v>
      </c>
      <c r="D110" s="32" t="s">
        <v>691</v>
      </c>
      <c r="E110" s="32" t="s">
        <v>888</v>
      </c>
      <c r="F110" s="32" t="s">
        <v>55</v>
      </c>
      <c r="G110" s="32" t="s">
        <v>882</v>
      </c>
      <c r="H110" s="32" t="s">
        <v>1056</v>
      </c>
      <c r="I110" s="32" t="s">
        <v>1057</v>
      </c>
      <c r="J110" s="32" t="s">
        <v>55</v>
      </c>
    </row>
    <row r="111" customFormat="false" ht="23.85" hidden="false" customHeight="false" outlineLevel="0" collapsed="false">
      <c r="A111" s="31" t="s">
        <v>694</v>
      </c>
      <c r="B111" s="32" t="s">
        <v>684</v>
      </c>
      <c r="C111" s="32" t="s">
        <v>695</v>
      </c>
      <c r="D111" s="32" t="s">
        <v>696</v>
      </c>
      <c r="E111" s="32" t="s">
        <v>888</v>
      </c>
      <c r="F111" s="32" t="s">
        <v>55</v>
      </c>
      <c r="G111" s="32" t="s">
        <v>882</v>
      </c>
      <c r="H111" s="32" t="s">
        <v>1056</v>
      </c>
      <c r="I111" s="32" t="s">
        <v>1057</v>
      </c>
      <c r="J111" s="32" t="s">
        <v>55</v>
      </c>
    </row>
    <row r="112" customFormat="false" ht="23.85" hidden="false" customHeight="false" outlineLevel="0" collapsed="false">
      <c r="A112" s="31" t="s">
        <v>698</v>
      </c>
      <c r="B112" s="32" t="s">
        <v>684</v>
      </c>
      <c r="C112" s="32" t="s">
        <v>699</v>
      </c>
      <c r="D112" s="32" t="s">
        <v>700</v>
      </c>
      <c r="E112" s="32" t="s">
        <v>888</v>
      </c>
      <c r="F112" s="32" t="s">
        <v>55</v>
      </c>
      <c r="G112" s="32" t="s">
        <v>882</v>
      </c>
      <c r="H112" s="32" t="s">
        <v>1056</v>
      </c>
      <c r="I112" s="32" t="s">
        <v>1057</v>
      </c>
      <c r="J112" s="32" t="s">
        <v>55</v>
      </c>
    </row>
    <row r="113" customFormat="false" ht="23.85" hidden="false" customHeight="false" outlineLevel="0" collapsed="false">
      <c r="A113" s="31" t="s">
        <v>703</v>
      </c>
      <c r="B113" s="32" t="s">
        <v>684</v>
      </c>
      <c r="C113" s="32" t="s">
        <v>704</v>
      </c>
      <c r="D113" s="32" t="s">
        <v>705</v>
      </c>
      <c r="E113" s="32" t="s">
        <v>888</v>
      </c>
      <c r="F113" s="32" t="s">
        <v>55</v>
      </c>
      <c r="G113" s="32" t="s">
        <v>882</v>
      </c>
      <c r="H113" s="32" t="s">
        <v>1056</v>
      </c>
      <c r="I113" s="32" t="s">
        <v>1057</v>
      </c>
      <c r="J113" s="32" t="s">
        <v>55</v>
      </c>
    </row>
    <row r="114" customFormat="false" ht="23.85" hidden="false" customHeight="false" outlineLevel="0" collapsed="false">
      <c r="A114" s="31" t="s">
        <v>708</v>
      </c>
      <c r="B114" s="32" t="s">
        <v>684</v>
      </c>
      <c r="C114" s="32" t="s">
        <v>704</v>
      </c>
      <c r="D114" s="32" t="s">
        <v>709</v>
      </c>
      <c r="E114" s="32" t="s">
        <v>888</v>
      </c>
      <c r="F114" s="32" t="s">
        <v>55</v>
      </c>
      <c r="G114" s="32" t="s">
        <v>882</v>
      </c>
      <c r="H114" s="32" t="s">
        <v>1056</v>
      </c>
      <c r="I114" s="32" t="s">
        <v>1057</v>
      </c>
      <c r="J114" s="32" t="s">
        <v>55</v>
      </c>
    </row>
    <row r="115" customFormat="false" ht="23.85" hidden="false" customHeight="false" outlineLevel="0" collapsed="false">
      <c r="A115" s="31" t="s">
        <v>711</v>
      </c>
      <c r="B115" s="32" t="s">
        <v>684</v>
      </c>
      <c r="C115" s="32" t="s">
        <v>704</v>
      </c>
      <c r="D115" s="32" t="s">
        <v>712</v>
      </c>
      <c r="E115" s="32" t="s">
        <v>888</v>
      </c>
      <c r="F115" s="32" t="s">
        <v>55</v>
      </c>
      <c r="G115" s="32" t="s">
        <v>882</v>
      </c>
      <c r="H115" s="32" t="s">
        <v>1056</v>
      </c>
      <c r="I115" s="32" t="s">
        <v>1057</v>
      </c>
      <c r="J115" s="32" t="s">
        <v>55</v>
      </c>
    </row>
    <row r="116" customFormat="false" ht="23.85" hidden="false" customHeight="false" outlineLevel="0" collapsed="false">
      <c r="A116" s="31" t="s">
        <v>714</v>
      </c>
      <c r="B116" s="32" t="s">
        <v>715</v>
      </c>
      <c r="C116" s="32" t="s">
        <v>716</v>
      </c>
      <c r="D116" s="32" t="s">
        <v>717</v>
      </c>
      <c r="E116" s="32" t="s">
        <v>888</v>
      </c>
      <c r="F116" s="32" t="s">
        <v>55</v>
      </c>
      <c r="G116" s="32" t="s">
        <v>882</v>
      </c>
      <c r="H116" s="32" t="s">
        <v>1058</v>
      </c>
      <c r="I116" s="32" t="s">
        <v>1059</v>
      </c>
      <c r="J116" s="32" t="s">
        <v>55</v>
      </c>
    </row>
    <row r="117" customFormat="false" ht="23.85" hidden="false" customHeight="false" outlineLevel="0" collapsed="false">
      <c r="A117" s="31" t="s">
        <v>722</v>
      </c>
      <c r="B117" s="32" t="s">
        <v>715</v>
      </c>
      <c r="C117" s="32" t="s">
        <v>716</v>
      </c>
      <c r="D117" s="32" t="s">
        <v>723</v>
      </c>
      <c r="E117" s="32" t="s">
        <v>888</v>
      </c>
      <c r="F117" s="32" t="s">
        <v>55</v>
      </c>
      <c r="G117" s="32" t="s">
        <v>882</v>
      </c>
      <c r="H117" s="32" t="s">
        <v>1058</v>
      </c>
      <c r="I117" s="32" t="s">
        <v>1059</v>
      </c>
      <c r="J117" s="32" t="s">
        <v>55</v>
      </c>
    </row>
    <row r="118" customFormat="false" ht="23.85" hidden="false" customHeight="false" outlineLevel="0" collapsed="false">
      <c r="A118" s="31" t="s">
        <v>724</v>
      </c>
      <c r="B118" s="32" t="s">
        <v>715</v>
      </c>
      <c r="C118" s="32" t="s">
        <v>716</v>
      </c>
      <c r="D118" s="32" t="s">
        <v>725</v>
      </c>
      <c r="E118" s="32" t="s">
        <v>888</v>
      </c>
      <c r="F118" s="32" t="s">
        <v>55</v>
      </c>
      <c r="G118" s="32" t="s">
        <v>882</v>
      </c>
      <c r="H118" s="32" t="s">
        <v>1058</v>
      </c>
      <c r="I118" s="32" t="s">
        <v>1059</v>
      </c>
      <c r="J118" s="32" t="s">
        <v>55</v>
      </c>
    </row>
    <row r="119" customFormat="false" ht="15" hidden="false" customHeight="false" outlineLevel="0" collapsed="false">
      <c r="A119" s="31" t="s">
        <v>726</v>
      </c>
      <c r="B119" s="32" t="s">
        <v>715</v>
      </c>
      <c r="C119" s="32" t="s">
        <v>716</v>
      </c>
      <c r="D119" s="32" t="s">
        <v>727</v>
      </c>
      <c r="E119" s="32" t="s">
        <v>888</v>
      </c>
      <c r="F119" s="32" t="s">
        <v>55</v>
      </c>
      <c r="G119" s="32" t="s">
        <v>882</v>
      </c>
      <c r="H119" s="32" t="s">
        <v>1058</v>
      </c>
      <c r="I119" s="32" t="s">
        <v>1059</v>
      </c>
      <c r="J119" s="32" t="s">
        <v>55</v>
      </c>
    </row>
    <row r="120" customFormat="false" ht="23.85" hidden="false" customHeight="false" outlineLevel="0" collapsed="false">
      <c r="A120" s="31" t="s">
        <v>730</v>
      </c>
      <c r="B120" s="32" t="s">
        <v>715</v>
      </c>
      <c r="C120" s="32" t="s">
        <v>716</v>
      </c>
      <c r="D120" s="32" t="s">
        <v>731</v>
      </c>
      <c r="E120" s="32" t="s">
        <v>888</v>
      </c>
      <c r="F120" s="32" t="s">
        <v>55</v>
      </c>
      <c r="G120" s="32" t="s">
        <v>882</v>
      </c>
      <c r="H120" s="32" t="s">
        <v>1058</v>
      </c>
      <c r="I120" s="32" t="s">
        <v>1059</v>
      </c>
      <c r="J120" s="32" t="s">
        <v>55</v>
      </c>
    </row>
    <row r="121" customFormat="false" ht="15" hidden="false" customHeight="false" outlineLevel="0" collapsed="false">
      <c r="A121" s="31" t="s">
        <v>733</v>
      </c>
      <c r="B121" s="32" t="s">
        <v>715</v>
      </c>
      <c r="C121" s="32" t="s">
        <v>716</v>
      </c>
      <c r="D121" s="32" t="s">
        <v>734</v>
      </c>
      <c r="E121" s="32" t="s">
        <v>888</v>
      </c>
      <c r="F121" s="32" t="s">
        <v>55</v>
      </c>
      <c r="G121" s="32" t="s">
        <v>882</v>
      </c>
      <c r="H121" s="32" t="s">
        <v>1058</v>
      </c>
      <c r="I121" s="32" t="s">
        <v>1059</v>
      </c>
      <c r="J121" s="32" t="s">
        <v>55</v>
      </c>
    </row>
    <row r="122" customFormat="false" ht="23.85" hidden="false" customHeight="false" outlineLevel="0" collapsed="false">
      <c r="A122" s="31" t="s">
        <v>736</v>
      </c>
      <c r="B122" s="32" t="s">
        <v>715</v>
      </c>
      <c r="C122" s="32" t="s">
        <v>716</v>
      </c>
      <c r="D122" s="32" t="s">
        <v>737</v>
      </c>
      <c r="E122" s="32" t="s">
        <v>888</v>
      </c>
      <c r="F122" s="32" t="s">
        <v>55</v>
      </c>
      <c r="G122" s="32" t="s">
        <v>882</v>
      </c>
      <c r="H122" s="32" t="s">
        <v>1058</v>
      </c>
      <c r="I122" s="32" t="s">
        <v>1059</v>
      </c>
      <c r="J122" s="32" t="s">
        <v>55</v>
      </c>
    </row>
    <row r="123" customFormat="false" ht="15" hidden="false" customHeight="false" outlineLevel="0" collapsed="false">
      <c r="A123" s="31" t="s">
        <v>739</v>
      </c>
      <c r="B123" s="32" t="s">
        <v>715</v>
      </c>
      <c r="C123" s="32" t="s">
        <v>716</v>
      </c>
      <c r="D123" s="32" t="s">
        <v>740</v>
      </c>
      <c r="E123" s="32" t="s">
        <v>888</v>
      </c>
      <c r="F123" s="32" t="s">
        <v>55</v>
      </c>
      <c r="G123" s="32" t="s">
        <v>882</v>
      </c>
      <c r="H123" s="32" t="s">
        <v>1058</v>
      </c>
      <c r="I123" s="32" t="s">
        <v>1059</v>
      </c>
      <c r="J123" s="32" t="s">
        <v>55</v>
      </c>
    </row>
    <row r="124" customFormat="false" ht="23.85" hidden="false" customHeight="false" outlineLevel="0" collapsed="false">
      <c r="A124" s="31" t="s">
        <v>742</v>
      </c>
      <c r="B124" s="32" t="s">
        <v>715</v>
      </c>
      <c r="C124" s="32" t="s">
        <v>716</v>
      </c>
      <c r="D124" s="32" t="s">
        <v>743</v>
      </c>
      <c r="E124" s="32" t="s">
        <v>888</v>
      </c>
      <c r="F124" s="32" t="s">
        <v>55</v>
      </c>
      <c r="G124" s="32" t="s">
        <v>882</v>
      </c>
      <c r="H124" s="32" t="s">
        <v>1058</v>
      </c>
      <c r="I124" s="32" t="s">
        <v>1059</v>
      </c>
      <c r="J124" s="32" t="s">
        <v>55</v>
      </c>
    </row>
    <row r="125" customFormat="false" ht="15" hidden="false" customHeight="false" outlineLevel="0" collapsed="false">
      <c r="A125" s="31" t="s">
        <v>745</v>
      </c>
      <c r="B125" s="32" t="s">
        <v>715</v>
      </c>
      <c r="C125" s="32" t="s">
        <v>716</v>
      </c>
      <c r="D125" s="32" t="s">
        <v>746</v>
      </c>
      <c r="E125" s="32" t="s">
        <v>888</v>
      </c>
      <c r="F125" s="32" t="s">
        <v>55</v>
      </c>
      <c r="G125" s="32" t="s">
        <v>882</v>
      </c>
      <c r="H125" s="32" t="s">
        <v>1058</v>
      </c>
      <c r="I125" s="32" t="s">
        <v>1059</v>
      </c>
      <c r="J125" s="32" t="s">
        <v>55</v>
      </c>
    </row>
    <row r="126" customFormat="false" ht="15" hidden="false" customHeight="false" outlineLevel="0" collapsed="false">
      <c r="A126" s="31" t="s">
        <v>748</v>
      </c>
      <c r="B126" s="32" t="s">
        <v>715</v>
      </c>
      <c r="C126" s="32" t="s">
        <v>716</v>
      </c>
      <c r="D126" s="32" t="s">
        <v>749</v>
      </c>
      <c r="E126" s="32" t="s">
        <v>888</v>
      </c>
      <c r="F126" s="32" t="s">
        <v>55</v>
      </c>
      <c r="G126" s="32" t="s">
        <v>882</v>
      </c>
      <c r="H126" s="32" t="s">
        <v>1058</v>
      </c>
      <c r="I126" s="32" t="s">
        <v>1059</v>
      </c>
      <c r="J126" s="32" t="s">
        <v>55</v>
      </c>
    </row>
    <row r="127" customFormat="false" ht="23.85" hidden="false" customHeight="false" outlineLevel="0" collapsed="false">
      <c r="A127" s="31" t="s">
        <v>751</v>
      </c>
      <c r="B127" s="32" t="s">
        <v>715</v>
      </c>
      <c r="C127" s="32" t="s">
        <v>716</v>
      </c>
      <c r="D127" s="32" t="s">
        <v>752</v>
      </c>
      <c r="E127" s="32" t="s">
        <v>888</v>
      </c>
      <c r="F127" s="32" t="s">
        <v>55</v>
      </c>
      <c r="G127" s="32" t="s">
        <v>882</v>
      </c>
      <c r="H127" s="32" t="s">
        <v>1058</v>
      </c>
      <c r="I127" s="32" t="s">
        <v>1059</v>
      </c>
      <c r="J127" s="32" t="s">
        <v>55</v>
      </c>
    </row>
    <row r="128" customFormat="false" ht="15" hidden="false" customHeight="false" outlineLevel="0" collapsed="false">
      <c r="A128" s="31" t="s">
        <v>754</v>
      </c>
      <c r="B128" s="32" t="s">
        <v>755</v>
      </c>
      <c r="C128" s="32" t="s">
        <v>756</v>
      </c>
      <c r="D128" s="32" t="s">
        <v>757</v>
      </c>
      <c r="E128" s="32" t="s">
        <v>888</v>
      </c>
      <c r="F128" s="32" t="s">
        <v>55</v>
      </c>
      <c r="G128" s="32" t="s">
        <v>882</v>
      </c>
      <c r="H128" s="32" t="s">
        <v>1060</v>
      </c>
      <c r="I128" s="32" t="s">
        <v>1061</v>
      </c>
      <c r="J128" s="32" t="s">
        <v>55</v>
      </c>
    </row>
    <row r="129" customFormat="false" ht="15" hidden="false" customHeight="false" outlineLevel="0" collapsed="false">
      <c r="A129" s="31" t="s">
        <v>760</v>
      </c>
      <c r="B129" s="32" t="s">
        <v>755</v>
      </c>
      <c r="C129" s="32" t="s">
        <v>756</v>
      </c>
      <c r="D129" s="32" t="s">
        <v>761</v>
      </c>
      <c r="E129" s="32" t="s">
        <v>888</v>
      </c>
      <c r="F129" s="32" t="s">
        <v>55</v>
      </c>
      <c r="G129" s="32" t="s">
        <v>882</v>
      </c>
      <c r="H129" s="32" t="s">
        <v>1060</v>
      </c>
      <c r="I129" s="32" t="s">
        <v>1061</v>
      </c>
      <c r="J129" s="32" t="s">
        <v>55</v>
      </c>
    </row>
    <row r="130" customFormat="false" ht="15" hidden="false" customHeight="false" outlineLevel="0" collapsed="false">
      <c r="A130" s="31" t="s">
        <v>762</v>
      </c>
      <c r="B130" s="32" t="s">
        <v>755</v>
      </c>
      <c r="C130" s="32" t="s">
        <v>756</v>
      </c>
      <c r="D130" s="32" t="s">
        <v>763</v>
      </c>
      <c r="E130" s="32" t="s">
        <v>888</v>
      </c>
      <c r="F130" s="32" t="s">
        <v>55</v>
      </c>
      <c r="G130" s="32" t="s">
        <v>882</v>
      </c>
      <c r="H130" s="32" t="s">
        <v>1060</v>
      </c>
      <c r="I130" s="32" t="s">
        <v>1061</v>
      </c>
      <c r="J130" s="32" t="s">
        <v>55</v>
      </c>
    </row>
    <row r="131" customFormat="false" ht="15" hidden="false" customHeight="false" outlineLevel="0" collapsed="false">
      <c r="A131" s="31" t="s">
        <v>765</v>
      </c>
      <c r="B131" s="32" t="s">
        <v>755</v>
      </c>
      <c r="C131" s="32" t="s">
        <v>756</v>
      </c>
      <c r="D131" s="32" t="s">
        <v>766</v>
      </c>
      <c r="E131" s="32" t="s">
        <v>888</v>
      </c>
      <c r="F131" s="32" t="s">
        <v>55</v>
      </c>
      <c r="G131" s="32" t="s">
        <v>882</v>
      </c>
      <c r="H131" s="32" t="s">
        <v>1060</v>
      </c>
      <c r="I131" s="32" t="s">
        <v>1061</v>
      </c>
      <c r="J131" s="32" t="s">
        <v>55</v>
      </c>
    </row>
  </sheetData>
  <autoFilter ref="A13:J131"/>
  <mergeCells count="1">
    <mergeCell ref="A4:C4"/>
  </mergeCells>
  <conditionalFormatting sqref="E14:E131">
    <cfRule type="expression" priority="2" aboveAverage="0" equalAverage="0" bottom="0" percent="0" rank="0" text="" dxfId="28">
      <formula>$E14="Covered"</formula>
    </cfRule>
    <cfRule type="expression" priority="3" aboveAverage="0" equalAverage="0" bottom="0" percent="0" rank="0" text="" dxfId="29">
      <formula>$E14="Partly covered"</formula>
    </cfRule>
    <cfRule type="expression" priority="4" aboveAverage="0" equalAverage="0" bottom="0" percent="0" rank="0" text="" dxfId="30">
      <formula>$E14="Native – no FRD needed"</formula>
    </cfRule>
    <cfRule type="expression" priority="5" aboveAverage="0" equalAverage="0" bottom="0" percent="0" rank="0" text="" dxfId="31">
      <formula>$E14="Not covered"</formula>
    </cfRule>
    <cfRule type="expression" priority="6" aboveAverage="0" equalAverage="0" bottom="0" percent="0" rank="0" text="" dxfId="32">
      <formula>$E14="Non-product feature"</formula>
    </cfRule>
  </conditionalFormatting>
  <conditionalFormatting sqref="G14:G131">
    <cfRule type="expression" priority="7" aboveAverage="0" equalAverage="0" bottom="0" percent="0" rank="0" text="" dxfId="33">
      <formula>$G14="Yes"</formula>
    </cfRule>
    <cfRule type="expression" priority="8" aboveAverage="0" equalAverage="0" bottom="0" percent="0" rank="0" text="" dxfId="34">
      <formula>$G14="Partly"</formula>
    </cfRule>
    <cfRule type="expression" priority="9" aboveAverage="0" equalAverage="0" bottom="0" percent="0" rank="0" text="" dxfId="32">
      <formula>$G14="No"</formula>
    </cfRule>
  </conditionalFormatting>
  <dataValidations count="2">
    <dataValidation allowBlank="true" errorStyle="stop" operator="between" showDropDown="false" showErrorMessage="false" showInputMessage="false" sqref="E14:E131" type="list">
      <formula1>"Covered,Partly covered,Native – no FRD needed,Not covered,Non-product feature"</formula1>
      <formula2>0</formula2>
    </dataValidation>
    <dataValidation allowBlank="true" errorStyle="stop" operator="between" showDropDown="false" showErrorMessage="false" showInputMessage="false" sqref="G14:G131" type="list">
      <formula1>"Yes,Partly,No"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3" style="0" width="31.57"/>
  </cols>
  <sheetData>
    <row r="1" customFormat="false" ht="28.35" hidden="false" customHeight="false" outlineLevel="0" collapsed="false">
      <c r="A1" s="33" t="s">
        <v>1062</v>
      </c>
      <c r="B1" s="34" t="s">
        <v>1063</v>
      </c>
      <c r="C1" s="34" t="s">
        <v>1064</v>
      </c>
      <c r="D1" s="33" t="s">
        <v>1065</v>
      </c>
      <c r="E1" s="33" t="s">
        <v>1066</v>
      </c>
      <c r="F1" s="33" t="s">
        <v>1067</v>
      </c>
      <c r="G1" s="33" t="s">
        <v>1068</v>
      </c>
      <c r="H1" s="33" t="s">
        <v>1069</v>
      </c>
      <c r="I1" s="33" t="s">
        <v>1070</v>
      </c>
      <c r="J1" s="33" t="s">
        <v>1071</v>
      </c>
      <c r="K1" s="34" t="s">
        <v>1072</v>
      </c>
      <c r="L1" s="33" t="s">
        <v>1073</v>
      </c>
      <c r="M1" s="34" t="s">
        <v>1074</v>
      </c>
      <c r="N1" s="35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customFormat="false" ht="15" hidden="false" customHeight="false" outlineLevel="0" collapsed="false">
      <c r="A2" s="37" t="n">
        <v>1</v>
      </c>
      <c r="B2" s="37" t="s">
        <v>1075</v>
      </c>
      <c r="C2" s="37" t="s">
        <v>1076</v>
      </c>
      <c r="D2" s="37" t="s">
        <v>1077</v>
      </c>
      <c r="E2" s="37" t="s">
        <v>882</v>
      </c>
      <c r="F2" s="37" t="s">
        <v>882</v>
      </c>
      <c r="G2" s="37" t="s">
        <v>54</v>
      </c>
      <c r="H2" s="37"/>
      <c r="I2" s="37" t="n">
        <v>6</v>
      </c>
      <c r="J2" s="37" t="s">
        <v>1078</v>
      </c>
      <c r="K2" s="36" t="s">
        <v>1079</v>
      </c>
      <c r="L2" s="37" t="n">
        <v>6</v>
      </c>
      <c r="M2" s="35" t="s">
        <v>1080</v>
      </c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customFormat="false" ht="28.35" hidden="false" customHeight="false" outlineLevel="0" collapsed="false">
      <c r="A3" s="38" t="n">
        <f aca="false">A2+1</f>
        <v>2</v>
      </c>
      <c r="B3" s="39" t="s">
        <v>1081</v>
      </c>
      <c r="C3" s="39" t="s">
        <v>1082</v>
      </c>
      <c r="D3" s="38" t="s">
        <v>1083</v>
      </c>
      <c r="E3" s="38" t="s">
        <v>1084</v>
      </c>
      <c r="F3" s="37" t="s">
        <v>882</v>
      </c>
      <c r="G3" s="37" t="s">
        <v>54</v>
      </c>
      <c r="H3" s="38"/>
      <c r="I3" s="40" t="n">
        <v>3</v>
      </c>
      <c r="J3" s="37" t="s">
        <v>1085</v>
      </c>
      <c r="K3" s="36" t="s">
        <v>1086</v>
      </c>
      <c r="L3" s="40" t="n">
        <v>3</v>
      </c>
      <c r="M3" s="41"/>
      <c r="N3" s="35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customFormat="false" ht="28.35" hidden="false" customHeight="false" outlineLevel="0" collapsed="false">
      <c r="A4" s="38" t="n">
        <f aca="false">A3+1</f>
        <v>3</v>
      </c>
      <c r="B4" s="39" t="s">
        <v>1081</v>
      </c>
      <c r="C4" s="39" t="s">
        <v>1087</v>
      </c>
      <c r="D4" s="38" t="s">
        <v>1088</v>
      </c>
      <c r="E4" s="38" t="s">
        <v>1089</v>
      </c>
      <c r="F4" s="37" t="s">
        <v>882</v>
      </c>
      <c r="G4" s="37" t="s">
        <v>54</v>
      </c>
      <c r="H4" s="38"/>
      <c r="I4" s="40"/>
      <c r="J4" s="37" t="s">
        <v>1085</v>
      </c>
      <c r="K4" s="36" t="s">
        <v>1086</v>
      </c>
      <c r="L4" s="40"/>
      <c r="M4" s="41"/>
      <c r="N4" s="35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customFormat="false" ht="28.35" hidden="false" customHeight="false" outlineLevel="0" collapsed="false">
      <c r="A5" s="38" t="n">
        <f aca="false">A4+1</f>
        <v>4</v>
      </c>
      <c r="B5" s="39" t="s">
        <v>1081</v>
      </c>
      <c r="C5" s="39" t="s">
        <v>1090</v>
      </c>
      <c r="D5" s="38" t="s">
        <v>1091</v>
      </c>
      <c r="E5" s="38" t="s">
        <v>1092</v>
      </c>
      <c r="F5" s="37" t="s">
        <v>882</v>
      </c>
      <c r="G5" s="37" t="s">
        <v>54</v>
      </c>
      <c r="H5" s="38"/>
      <c r="I5" s="40"/>
      <c r="J5" s="37" t="s">
        <v>1085</v>
      </c>
      <c r="K5" s="36" t="s">
        <v>1086</v>
      </c>
      <c r="L5" s="40"/>
      <c r="M5" s="41"/>
      <c r="N5" s="35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customFormat="false" ht="28.35" hidden="false" customHeight="false" outlineLevel="0" collapsed="false">
      <c r="A6" s="38" t="n">
        <f aca="false">A5+1</f>
        <v>5</v>
      </c>
      <c r="B6" s="39" t="s">
        <v>1081</v>
      </c>
      <c r="C6" s="39" t="s">
        <v>1093</v>
      </c>
      <c r="D6" s="42" t="s">
        <v>1094</v>
      </c>
      <c r="E6" s="42" t="s">
        <v>1095</v>
      </c>
      <c r="F6" s="43" t="s">
        <v>882</v>
      </c>
      <c r="G6" s="43" t="s">
        <v>54</v>
      </c>
      <c r="H6" s="38"/>
      <c r="I6" s="38" t="n">
        <v>2</v>
      </c>
      <c r="J6" s="37" t="s">
        <v>1096</v>
      </c>
      <c r="K6" s="36" t="s">
        <v>1079</v>
      </c>
      <c r="L6" s="38" t="n">
        <v>1</v>
      </c>
      <c r="M6" s="35" t="s">
        <v>1097</v>
      </c>
      <c r="N6" s="35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customFormat="false" ht="41.75" hidden="false" customHeight="false" outlineLevel="0" collapsed="false">
      <c r="A7" s="44" t="n">
        <f aca="false">A6+1</f>
        <v>6</v>
      </c>
      <c r="B7" s="45" t="s">
        <v>1098</v>
      </c>
      <c r="C7" s="45" t="s">
        <v>1099</v>
      </c>
      <c r="D7" s="44" t="s">
        <v>1100</v>
      </c>
      <c r="E7" s="44" t="s">
        <v>1101</v>
      </c>
      <c r="F7" s="37" t="s">
        <v>882</v>
      </c>
      <c r="G7" s="37" t="s">
        <v>54</v>
      </c>
      <c r="H7" s="44" t="s">
        <v>1102</v>
      </c>
      <c r="I7" s="46" t="n">
        <v>5</v>
      </c>
      <c r="J7" s="37" t="s">
        <v>1096</v>
      </c>
      <c r="K7" s="36" t="s">
        <v>1079</v>
      </c>
      <c r="L7" s="44" t="n">
        <v>1</v>
      </c>
      <c r="M7" s="35" t="s">
        <v>1103</v>
      </c>
      <c r="N7" s="35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customFormat="false" ht="15" hidden="false" customHeight="false" outlineLevel="0" collapsed="false">
      <c r="A8" s="37" t="n">
        <f aca="false">A7+1</f>
        <v>7</v>
      </c>
      <c r="B8" s="37" t="s">
        <v>1081</v>
      </c>
      <c r="C8" s="37" t="s">
        <v>1104</v>
      </c>
      <c r="D8" s="37" t="s">
        <v>1105</v>
      </c>
      <c r="E8" s="37" t="s">
        <v>882</v>
      </c>
      <c r="F8" s="37" t="s">
        <v>882</v>
      </c>
      <c r="G8" s="37" t="s">
        <v>54</v>
      </c>
      <c r="H8" s="37"/>
      <c r="I8" s="46" t="n">
        <v>1.5</v>
      </c>
      <c r="J8" s="37" t="s">
        <v>1096</v>
      </c>
      <c r="K8" s="36" t="s">
        <v>1079</v>
      </c>
      <c r="L8" s="37" t="n">
        <v>1</v>
      </c>
      <c r="M8" s="35" t="s">
        <v>1106</v>
      </c>
      <c r="N8" s="35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customFormat="false" ht="15" hidden="false" customHeight="false" outlineLevel="0" collapsed="false">
      <c r="A9" s="37" t="n">
        <f aca="false">A8+1</f>
        <v>8</v>
      </c>
      <c r="B9" s="37" t="s">
        <v>1107</v>
      </c>
      <c r="C9" s="37" t="s">
        <v>1108</v>
      </c>
      <c r="D9" s="37" t="s">
        <v>1109</v>
      </c>
      <c r="E9" s="37" t="s">
        <v>882</v>
      </c>
      <c r="F9" s="37" t="s">
        <v>882</v>
      </c>
      <c r="G9" s="37" t="s">
        <v>54</v>
      </c>
      <c r="H9" s="37"/>
      <c r="I9" s="46" t="n">
        <v>3</v>
      </c>
      <c r="J9" s="37" t="s">
        <v>1085</v>
      </c>
      <c r="K9" s="36" t="s">
        <v>1079</v>
      </c>
      <c r="L9" s="37" t="n">
        <v>1</v>
      </c>
      <c r="M9" s="36" t="s">
        <v>1110</v>
      </c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customFormat="false" ht="15" hidden="false" customHeight="false" outlineLevel="0" collapsed="false">
      <c r="A10" s="37" t="n">
        <f aca="false">A9+1</f>
        <v>9</v>
      </c>
      <c r="B10" s="37" t="s">
        <v>1107</v>
      </c>
      <c r="C10" s="37" t="s">
        <v>1111</v>
      </c>
      <c r="D10" s="37" t="s">
        <v>1112</v>
      </c>
      <c r="E10" s="37" t="s">
        <v>882</v>
      </c>
      <c r="F10" s="37" t="s">
        <v>882</v>
      </c>
      <c r="G10" s="37" t="s">
        <v>54</v>
      </c>
      <c r="H10" s="37"/>
      <c r="I10" s="46" t="n">
        <v>1</v>
      </c>
      <c r="J10" s="37" t="s">
        <v>1085</v>
      </c>
      <c r="K10" s="36" t="s">
        <v>1113</v>
      </c>
      <c r="L10" s="37" t="n">
        <v>1</v>
      </c>
      <c r="M10" s="36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customFormat="false" ht="15" hidden="false" customHeight="true" outlineLevel="0" collapsed="false">
      <c r="A11" s="47" t="n">
        <v>10</v>
      </c>
      <c r="B11" s="48" t="s">
        <v>1114</v>
      </c>
      <c r="C11" s="49" t="s">
        <v>1115</v>
      </c>
      <c r="D11" s="47" t="s">
        <v>1116</v>
      </c>
      <c r="E11" s="47" t="s">
        <v>1117</v>
      </c>
      <c r="F11" s="37" t="s">
        <v>874</v>
      </c>
      <c r="G11" s="37" t="s">
        <v>54</v>
      </c>
      <c r="H11" s="47"/>
      <c r="I11" s="50" t="n">
        <v>6</v>
      </c>
      <c r="J11" s="37" t="s">
        <v>1118</v>
      </c>
      <c r="K11" s="36" t="s">
        <v>1113</v>
      </c>
      <c r="L11" s="50" t="n">
        <v>6</v>
      </c>
      <c r="M11" s="36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customFormat="false" ht="15" hidden="false" customHeight="false" outlineLevel="0" collapsed="false">
      <c r="A12" s="47"/>
      <c r="B12" s="47"/>
      <c r="C12" s="49" t="s">
        <v>1119</v>
      </c>
      <c r="D12" s="47"/>
      <c r="E12" s="47"/>
      <c r="F12" s="37" t="s">
        <v>874</v>
      </c>
      <c r="G12" s="37" t="s">
        <v>54</v>
      </c>
      <c r="H12" s="47"/>
      <c r="I12" s="51" t="n">
        <v>4</v>
      </c>
      <c r="J12" s="37" t="s">
        <v>1118</v>
      </c>
      <c r="K12" s="36"/>
      <c r="L12" s="51" t="n">
        <v>4</v>
      </c>
      <c r="M12" s="36"/>
      <c r="N12" s="35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customFormat="false" ht="15" hidden="false" customHeight="false" outlineLevel="0" collapsed="false">
      <c r="A13" s="47"/>
      <c r="B13" s="47"/>
      <c r="C13" s="52" t="s">
        <v>1120</v>
      </c>
      <c r="D13" s="47"/>
      <c r="E13" s="47"/>
      <c r="F13" s="37" t="s">
        <v>874</v>
      </c>
      <c r="G13" s="37" t="s">
        <v>54</v>
      </c>
      <c r="H13" s="47"/>
      <c r="I13" s="50" t="n">
        <v>2</v>
      </c>
      <c r="J13" s="37" t="s">
        <v>1118</v>
      </c>
      <c r="K13" s="36"/>
      <c r="L13" s="50" t="n">
        <v>2</v>
      </c>
      <c r="M13" s="36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customFormat="false" ht="15" hidden="false" customHeight="false" outlineLevel="0" collapsed="false">
      <c r="A14" s="47"/>
      <c r="B14" s="47"/>
      <c r="C14" s="52" t="s">
        <v>1121</v>
      </c>
      <c r="D14" s="47"/>
      <c r="E14" s="47"/>
      <c r="F14" s="37" t="s">
        <v>874</v>
      </c>
      <c r="G14" s="37" t="s">
        <v>54</v>
      </c>
      <c r="H14" s="47"/>
      <c r="I14" s="50" t="n">
        <v>3</v>
      </c>
      <c r="J14" s="37" t="s">
        <v>1118</v>
      </c>
      <c r="K14" s="36"/>
      <c r="L14" s="50" t="n">
        <v>3</v>
      </c>
      <c r="M14" s="36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customFormat="false" ht="15" hidden="false" customHeight="false" outlineLevel="0" collapsed="false">
      <c r="A15" s="47"/>
      <c r="B15" s="47"/>
      <c r="C15" s="52" t="s">
        <v>1122</v>
      </c>
      <c r="D15" s="47"/>
      <c r="E15" s="47"/>
      <c r="F15" s="37" t="s">
        <v>874</v>
      </c>
      <c r="G15" s="37" t="s">
        <v>54</v>
      </c>
      <c r="H15" s="47"/>
      <c r="I15" s="50" t="n">
        <v>7</v>
      </c>
      <c r="J15" s="37" t="s">
        <v>1118</v>
      </c>
      <c r="K15" s="36"/>
      <c r="L15" s="50" t="n">
        <v>7</v>
      </c>
      <c r="M15" s="36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customFormat="false" ht="15" hidden="false" customHeight="false" outlineLevel="0" collapsed="false">
      <c r="A16" s="47"/>
      <c r="B16" s="47"/>
      <c r="C16" s="49" t="s">
        <v>1123</v>
      </c>
      <c r="D16" s="47"/>
      <c r="E16" s="47"/>
      <c r="F16" s="37" t="s">
        <v>874</v>
      </c>
      <c r="G16" s="37" t="s">
        <v>54</v>
      </c>
      <c r="H16" s="47"/>
      <c r="I16" s="51" t="n">
        <v>18</v>
      </c>
      <c r="J16" s="37" t="s">
        <v>1118</v>
      </c>
      <c r="K16" s="36"/>
      <c r="L16" s="51" t="n">
        <v>18</v>
      </c>
      <c r="M16" s="36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customFormat="false" ht="15" hidden="false" customHeight="false" outlineLevel="0" collapsed="false">
      <c r="A17" s="47"/>
      <c r="B17" s="47"/>
      <c r="C17" s="52" t="s">
        <v>1124</v>
      </c>
      <c r="D17" s="47"/>
      <c r="E17" s="47"/>
      <c r="F17" s="37" t="s">
        <v>874</v>
      </c>
      <c r="G17" s="37" t="s">
        <v>54</v>
      </c>
      <c r="H17" s="47"/>
      <c r="I17" s="50" t="n">
        <v>3</v>
      </c>
      <c r="J17" s="37" t="s">
        <v>1118</v>
      </c>
      <c r="K17" s="36"/>
      <c r="L17" s="50" t="n">
        <v>3</v>
      </c>
      <c r="M17" s="36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customFormat="false" ht="15" hidden="false" customHeight="true" outlineLevel="0" collapsed="false">
      <c r="A18" s="53" t="n">
        <v>11</v>
      </c>
      <c r="B18" s="54" t="s">
        <v>1125</v>
      </c>
      <c r="C18" s="55" t="s">
        <v>1126</v>
      </c>
      <c r="D18" s="53" t="s">
        <v>1116</v>
      </c>
      <c r="E18" s="53" t="s">
        <v>1117</v>
      </c>
      <c r="F18" s="37" t="s">
        <v>874</v>
      </c>
      <c r="G18" s="37" t="s">
        <v>54</v>
      </c>
      <c r="H18" s="53"/>
      <c r="I18" s="56" t="n">
        <v>6</v>
      </c>
      <c r="J18" s="37" t="s">
        <v>1096</v>
      </c>
      <c r="K18" s="36" t="s">
        <v>1113</v>
      </c>
      <c r="L18" s="56" t="n">
        <v>6</v>
      </c>
      <c r="M18" s="36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customFormat="false" ht="15" hidden="false" customHeight="false" outlineLevel="0" collapsed="false">
      <c r="A19" s="53"/>
      <c r="B19" s="53"/>
      <c r="C19" s="55" t="s">
        <v>1127</v>
      </c>
      <c r="D19" s="53"/>
      <c r="E19" s="53"/>
      <c r="F19" s="37" t="s">
        <v>874</v>
      </c>
      <c r="G19" s="37" t="s">
        <v>54</v>
      </c>
      <c r="H19" s="53"/>
      <c r="I19" s="56" t="n">
        <v>7</v>
      </c>
      <c r="J19" s="37" t="s">
        <v>1096</v>
      </c>
      <c r="K19" s="36"/>
      <c r="L19" s="56" t="n">
        <v>7</v>
      </c>
      <c r="M19" s="36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customFormat="false" ht="15" hidden="false" customHeight="false" outlineLevel="0" collapsed="false">
      <c r="A20" s="53"/>
      <c r="B20" s="53"/>
      <c r="C20" s="55" t="s">
        <v>1128</v>
      </c>
      <c r="D20" s="53"/>
      <c r="E20" s="53"/>
      <c r="F20" s="37" t="s">
        <v>874</v>
      </c>
      <c r="G20" s="37" t="s">
        <v>54</v>
      </c>
      <c r="H20" s="53"/>
      <c r="I20" s="56" t="n">
        <v>7</v>
      </c>
      <c r="J20" s="37" t="s">
        <v>1096</v>
      </c>
      <c r="K20" s="36"/>
      <c r="L20" s="56" t="n">
        <v>7</v>
      </c>
      <c r="M20" s="36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customFormat="false" ht="15" hidden="false" customHeight="false" outlineLevel="0" collapsed="false">
      <c r="A21" s="53"/>
      <c r="B21" s="53"/>
      <c r="C21" s="55" t="s">
        <v>1129</v>
      </c>
      <c r="D21" s="53"/>
      <c r="E21" s="53"/>
      <c r="F21" s="37" t="s">
        <v>874</v>
      </c>
      <c r="G21" s="37" t="s">
        <v>54</v>
      </c>
      <c r="H21" s="53"/>
      <c r="I21" s="56" t="n">
        <v>7</v>
      </c>
      <c r="J21" s="37" t="s">
        <v>1096</v>
      </c>
      <c r="K21" s="36"/>
      <c r="L21" s="56" t="n">
        <v>7</v>
      </c>
      <c r="M21" s="36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customFormat="false" ht="15" hidden="false" customHeight="false" outlineLevel="0" collapsed="false">
      <c r="A22" s="53"/>
      <c r="B22" s="53"/>
      <c r="C22" s="55" t="s">
        <v>1130</v>
      </c>
      <c r="D22" s="53"/>
      <c r="E22" s="53"/>
      <c r="F22" s="37" t="s">
        <v>874</v>
      </c>
      <c r="G22" s="37" t="s">
        <v>54</v>
      </c>
      <c r="H22" s="53"/>
      <c r="I22" s="57" t="n">
        <v>12</v>
      </c>
      <c r="J22" s="37" t="s">
        <v>1096</v>
      </c>
      <c r="K22" s="36"/>
      <c r="L22" s="57" t="n">
        <v>12</v>
      </c>
      <c r="M22" s="36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customFormat="false" ht="15" hidden="false" customHeight="false" outlineLevel="0" collapsed="false">
      <c r="A23" s="53"/>
      <c r="B23" s="53"/>
      <c r="C23" s="55" t="s">
        <v>1131</v>
      </c>
      <c r="D23" s="53"/>
      <c r="E23" s="53"/>
      <c r="F23" s="37" t="s">
        <v>874</v>
      </c>
      <c r="G23" s="37" t="s">
        <v>54</v>
      </c>
      <c r="H23" s="53"/>
      <c r="I23" s="56" t="n">
        <v>5</v>
      </c>
      <c r="J23" s="37" t="s">
        <v>1096</v>
      </c>
      <c r="K23" s="36"/>
      <c r="L23" s="56" t="n">
        <v>5</v>
      </c>
      <c r="M23" s="36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customFormat="false" ht="15" hidden="false" customHeight="false" outlineLevel="0" collapsed="false">
      <c r="A24" s="53"/>
      <c r="B24" s="53"/>
      <c r="C24" s="55" t="s">
        <v>1132</v>
      </c>
      <c r="D24" s="53"/>
      <c r="E24" s="53"/>
      <c r="F24" s="37" t="s">
        <v>874</v>
      </c>
      <c r="G24" s="37" t="s">
        <v>54</v>
      </c>
      <c r="H24" s="53"/>
      <c r="I24" s="56" t="n">
        <v>2</v>
      </c>
      <c r="J24" s="37" t="s">
        <v>1096</v>
      </c>
      <c r="K24" s="36"/>
      <c r="L24" s="56" t="n">
        <v>2</v>
      </c>
      <c r="M24" s="36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customFormat="false" ht="28.35" hidden="false" customHeight="false" outlineLevel="0" collapsed="false">
      <c r="A25" s="37" t="n">
        <f aca="false">A18+1</f>
        <v>12</v>
      </c>
      <c r="B25" s="58" t="s">
        <v>1133</v>
      </c>
      <c r="C25" s="58" t="s">
        <v>1134</v>
      </c>
      <c r="D25" s="37" t="s">
        <v>1135</v>
      </c>
      <c r="E25" s="37" t="s">
        <v>1136</v>
      </c>
      <c r="F25" s="37" t="s">
        <v>874</v>
      </c>
      <c r="G25" s="37" t="s">
        <v>216</v>
      </c>
      <c r="H25" s="37"/>
      <c r="I25" s="37" t="n">
        <v>2</v>
      </c>
      <c r="J25" s="37" t="s">
        <v>1096</v>
      </c>
      <c r="K25" s="36" t="s">
        <v>1113</v>
      </c>
      <c r="L25" s="37" t="n">
        <v>2</v>
      </c>
      <c r="M25" s="36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customFormat="false" ht="28.35" hidden="false" customHeight="false" outlineLevel="0" collapsed="false">
      <c r="A26" s="37" t="n">
        <f aca="false">A25+1</f>
        <v>13</v>
      </c>
      <c r="B26" s="58" t="s">
        <v>1133</v>
      </c>
      <c r="C26" s="58" t="s">
        <v>1137</v>
      </c>
      <c r="D26" s="37" t="s">
        <v>1138</v>
      </c>
      <c r="E26" s="37" t="s">
        <v>1139</v>
      </c>
      <c r="F26" s="37" t="s">
        <v>874</v>
      </c>
      <c r="G26" s="37" t="s">
        <v>216</v>
      </c>
      <c r="H26" s="37"/>
      <c r="I26" s="37" t="n">
        <v>3</v>
      </c>
      <c r="J26" s="37" t="s">
        <v>1096</v>
      </c>
      <c r="K26" s="36" t="s">
        <v>1113</v>
      </c>
      <c r="L26" s="37" t="n">
        <v>3</v>
      </c>
      <c r="M26" s="36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customFormat="false" ht="28.35" hidden="false" customHeight="false" outlineLevel="0" collapsed="false">
      <c r="A27" s="37" t="n">
        <f aca="false">A26+1</f>
        <v>14</v>
      </c>
      <c r="B27" s="58" t="s">
        <v>1133</v>
      </c>
      <c r="C27" s="58" t="s">
        <v>1140</v>
      </c>
      <c r="D27" s="37" t="s">
        <v>1141</v>
      </c>
      <c r="E27" s="37" t="s">
        <v>1142</v>
      </c>
      <c r="F27" s="37" t="s">
        <v>882</v>
      </c>
      <c r="G27" s="37" t="s">
        <v>216</v>
      </c>
      <c r="H27" s="37"/>
      <c r="I27" s="37" t="n">
        <v>2</v>
      </c>
      <c r="J27" s="37" t="s">
        <v>1096</v>
      </c>
      <c r="K27" s="36" t="s">
        <v>1113</v>
      </c>
      <c r="L27" s="37" t="n">
        <v>2</v>
      </c>
      <c r="M27" s="36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customFormat="false" ht="28.35" hidden="false" customHeight="false" outlineLevel="0" collapsed="false">
      <c r="A28" s="37" t="n">
        <f aca="false">A27+1</f>
        <v>15</v>
      </c>
      <c r="B28" s="58" t="s">
        <v>1133</v>
      </c>
      <c r="C28" s="58" t="s">
        <v>1143</v>
      </c>
      <c r="D28" s="37" t="s">
        <v>1144</v>
      </c>
      <c r="E28" s="37" t="s">
        <v>1145</v>
      </c>
      <c r="F28" s="37" t="s">
        <v>1146</v>
      </c>
      <c r="G28" s="37" t="s">
        <v>216</v>
      </c>
      <c r="H28" s="37" t="s">
        <v>1147</v>
      </c>
      <c r="I28" s="37" t="n">
        <v>2</v>
      </c>
      <c r="J28" s="37" t="s">
        <v>1096</v>
      </c>
      <c r="K28" s="36" t="s">
        <v>1113</v>
      </c>
      <c r="L28" s="37" t="n">
        <v>2</v>
      </c>
      <c r="M28" s="36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customFormat="false" ht="28.35" hidden="false" customHeight="false" outlineLevel="0" collapsed="false">
      <c r="A29" s="37" t="n">
        <f aca="false">A28+1</f>
        <v>16</v>
      </c>
      <c r="B29" s="58" t="s">
        <v>1148</v>
      </c>
      <c r="C29" s="58" t="s">
        <v>1149</v>
      </c>
      <c r="D29" s="37" t="s">
        <v>1150</v>
      </c>
      <c r="E29" s="37" t="s">
        <v>1151</v>
      </c>
      <c r="F29" s="37" t="s">
        <v>882</v>
      </c>
      <c r="G29" s="37" t="s">
        <v>54</v>
      </c>
      <c r="H29" s="37"/>
      <c r="I29" s="37" t="n">
        <v>4</v>
      </c>
      <c r="J29" s="37" t="s">
        <v>1078</v>
      </c>
      <c r="K29" s="36" t="s">
        <v>1079</v>
      </c>
      <c r="L29" s="37" t="n">
        <v>3</v>
      </c>
      <c r="M29" s="35" t="s">
        <v>1152</v>
      </c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customFormat="false" ht="28.35" hidden="false" customHeight="false" outlineLevel="0" collapsed="false">
      <c r="A30" s="37" t="n">
        <f aca="false">A29+1</f>
        <v>17</v>
      </c>
      <c r="B30" s="58" t="s">
        <v>1153</v>
      </c>
      <c r="C30" s="58" t="s">
        <v>1154</v>
      </c>
      <c r="D30" s="37" t="s">
        <v>1155</v>
      </c>
      <c r="E30" s="37" t="s">
        <v>1156</v>
      </c>
      <c r="F30" s="37" t="s">
        <v>1146</v>
      </c>
      <c r="G30" s="37" t="s">
        <v>54</v>
      </c>
      <c r="H30" s="37" t="s">
        <v>1157</v>
      </c>
      <c r="I30" s="37" t="n">
        <v>3</v>
      </c>
      <c r="J30" s="37" t="s">
        <v>1118</v>
      </c>
      <c r="K30" s="36" t="s">
        <v>1079</v>
      </c>
      <c r="L30" s="37" t="n">
        <v>1</v>
      </c>
      <c r="M30" s="36" t="s">
        <v>1158</v>
      </c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customFormat="false" ht="28.35" hidden="false" customHeight="false" outlineLevel="0" collapsed="false">
      <c r="A31" s="37" t="n">
        <f aca="false">A30+1</f>
        <v>18</v>
      </c>
      <c r="B31" s="58" t="s">
        <v>1159</v>
      </c>
      <c r="C31" s="58" t="s">
        <v>1160</v>
      </c>
      <c r="D31" s="37" t="s">
        <v>1161</v>
      </c>
      <c r="E31" s="37" t="s">
        <v>1162</v>
      </c>
      <c r="F31" s="37" t="s">
        <v>882</v>
      </c>
      <c r="G31" s="37" t="s">
        <v>216</v>
      </c>
      <c r="H31" s="37"/>
      <c r="I31" s="37" t="n">
        <v>3.5</v>
      </c>
      <c r="J31" s="37" t="s">
        <v>1118</v>
      </c>
      <c r="K31" s="36" t="s">
        <v>1086</v>
      </c>
      <c r="L31" s="37" t="n">
        <v>1</v>
      </c>
      <c r="M31" s="59" t="s">
        <v>1163</v>
      </c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customFormat="false" ht="28.35" hidden="false" customHeight="false" outlineLevel="0" collapsed="false">
      <c r="A32" s="37" t="n">
        <f aca="false">A31+1</f>
        <v>19</v>
      </c>
      <c r="B32" s="58" t="s">
        <v>1164</v>
      </c>
      <c r="C32" s="58" t="s">
        <v>1165</v>
      </c>
      <c r="D32" s="37" t="s">
        <v>1166</v>
      </c>
      <c r="E32" s="37" t="s">
        <v>1167</v>
      </c>
      <c r="F32" s="37" t="s">
        <v>882</v>
      </c>
      <c r="G32" s="37" t="s">
        <v>216</v>
      </c>
      <c r="H32" s="37"/>
      <c r="I32" s="37" t="n">
        <v>2</v>
      </c>
      <c r="J32" s="37" t="s">
        <v>1118</v>
      </c>
      <c r="K32" s="36" t="s">
        <v>1113</v>
      </c>
      <c r="L32" s="37" t="n">
        <v>2</v>
      </c>
      <c r="M32" s="36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customFormat="false" ht="28.35" hidden="false" customHeight="false" outlineLevel="0" collapsed="false">
      <c r="A33" s="37" t="n">
        <f aca="false">A32+1</f>
        <v>20</v>
      </c>
      <c r="B33" s="58" t="s">
        <v>1168</v>
      </c>
      <c r="C33" s="58" t="s">
        <v>1169</v>
      </c>
      <c r="D33" s="37" t="s">
        <v>1170</v>
      </c>
      <c r="E33" s="37" t="s">
        <v>1171</v>
      </c>
      <c r="F33" s="37" t="s">
        <v>882</v>
      </c>
      <c r="G33" s="37" t="s">
        <v>216</v>
      </c>
      <c r="H33" s="37"/>
      <c r="I33" s="37" t="n">
        <v>2</v>
      </c>
      <c r="J33" s="37" t="s">
        <v>1118</v>
      </c>
      <c r="K33" s="36" t="s">
        <v>1079</v>
      </c>
      <c r="L33" s="37" t="n">
        <v>1</v>
      </c>
      <c r="M33" s="35" t="s">
        <v>1172</v>
      </c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customFormat="false" ht="28.35" hidden="false" customHeight="false" outlineLevel="0" collapsed="false">
      <c r="A34" s="60" t="n">
        <f aca="false">A33+1</f>
        <v>21</v>
      </c>
      <c r="B34" s="61" t="s">
        <v>1173</v>
      </c>
      <c r="C34" s="61" t="s">
        <v>1174</v>
      </c>
      <c r="D34" s="60" t="s">
        <v>1175</v>
      </c>
      <c r="E34" s="60" t="s">
        <v>1176</v>
      </c>
      <c r="F34" s="37" t="s">
        <v>874</v>
      </c>
      <c r="G34" s="37" t="s">
        <v>54</v>
      </c>
      <c r="H34" s="60" t="s">
        <v>1177</v>
      </c>
      <c r="I34" s="62" t="n">
        <v>10</v>
      </c>
      <c r="J34" s="37" t="s">
        <v>1178</v>
      </c>
      <c r="K34" s="36" t="s">
        <v>1079</v>
      </c>
      <c r="L34" s="62" t="n">
        <v>5</v>
      </c>
      <c r="M34" s="35" t="s">
        <v>1179</v>
      </c>
      <c r="N34" s="35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customFormat="false" ht="15" hidden="false" customHeight="false" outlineLevel="0" collapsed="false">
      <c r="A35" s="44" t="n">
        <f aca="false">A34+1</f>
        <v>22</v>
      </c>
      <c r="B35" s="45" t="s">
        <v>1180</v>
      </c>
      <c r="C35" s="45" t="s">
        <v>1181</v>
      </c>
      <c r="D35" s="44"/>
      <c r="E35" s="44" t="s">
        <v>1182</v>
      </c>
      <c r="F35" s="37" t="s">
        <v>874</v>
      </c>
      <c r="G35" s="37" t="s">
        <v>216</v>
      </c>
      <c r="H35" s="44"/>
      <c r="I35" s="44" t="n">
        <v>5</v>
      </c>
      <c r="J35" s="37" t="s">
        <v>1078</v>
      </c>
      <c r="K35" s="36" t="s">
        <v>1113</v>
      </c>
      <c r="L35" s="44" t="n">
        <v>5</v>
      </c>
      <c r="M35" s="64"/>
      <c r="N35" s="35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customFormat="false" ht="28.35" hidden="false" customHeight="false" outlineLevel="0" collapsed="false">
      <c r="A36" s="44" t="n">
        <f aca="false">A35+1</f>
        <v>23</v>
      </c>
      <c r="B36" s="45" t="s">
        <v>1183</v>
      </c>
      <c r="C36" s="45" t="s">
        <v>1184</v>
      </c>
      <c r="D36" s="44" t="s">
        <v>1185</v>
      </c>
      <c r="E36" s="44" t="s">
        <v>1186</v>
      </c>
      <c r="F36" s="37" t="s">
        <v>1146</v>
      </c>
      <c r="G36" s="37" t="s">
        <v>216</v>
      </c>
      <c r="H36" s="44" t="s">
        <v>1187</v>
      </c>
      <c r="I36" s="44" t="n">
        <v>2</v>
      </c>
      <c r="J36" s="37" t="s">
        <v>1078</v>
      </c>
      <c r="K36" s="36" t="s">
        <v>1079</v>
      </c>
      <c r="L36" s="44" t="n">
        <v>2</v>
      </c>
      <c r="M36" s="65" t="s">
        <v>1188</v>
      </c>
      <c r="N36" s="35"/>
      <c r="O36" s="41" t="s">
        <v>1189</v>
      </c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customFormat="false" ht="28.35" hidden="false" customHeight="false" outlineLevel="0" collapsed="false">
      <c r="A37" s="44" t="n">
        <f aca="false">A36+1</f>
        <v>24</v>
      </c>
      <c r="B37" s="45" t="s">
        <v>1190</v>
      </c>
      <c r="C37" s="45" t="s">
        <v>1191</v>
      </c>
      <c r="D37" s="44" t="s">
        <v>1192</v>
      </c>
      <c r="E37" s="44" t="s">
        <v>1193</v>
      </c>
      <c r="F37" s="37" t="s">
        <v>882</v>
      </c>
      <c r="G37" s="37" t="s">
        <v>216</v>
      </c>
      <c r="H37" s="44"/>
      <c r="I37" s="44" t="n">
        <v>2</v>
      </c>
      <c r="J37" s="37" t="s">
        <v>1118</v>
      </c>
      <c r="K37" s="36" t="s">
        <v>1113</v>
      </c>
      <c r="L37" s="44" t="n">
        <v>2</v>
      </c>
      <c r="M37" s="41"/>
      <c r="N37" s="35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customFormat="false" ht="28.35" hidden="false" customHeight="false" outlineLevel="0" collapsed="false">
      <c r="A38" s="66" t="n">
        <f aca="false">A37+1</f>
        <v>25</v>
      </c>
      <c r="B38" s="67" t="s">
        <v>1194</v>
      </c>
      <c r="C38" s="67" t="s">
        <v>1195</v>
      </c>
      <c r="D38" s="68" t="s">
        <v>1196</v>
      </c>
      <c r="E38" s="66" t="s">
        <v>1197</v>
      </c>
      <c r="F38" s="69" t="s">
        <v>874</v>
      </c>
      <c r="G38" s="69" t="s">
        <v>216</v>
      </c>
      <c r="H38" s="44"/>
      <c r="I38" s="66" t="n">
        <v>0</v>
      </c>
      <c r="J38" s="69" t="s">
        <v>1096</v>
      </c>
      <c r="K38" s="70" t="s">
        <v>1113</v>
      </c>
      <c r="L38" s="66" t="n">
        <v>2</v>
      </c>
      <c r="M38" s="41"/>
      <c r="N38" s="35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customFormat="false" ht="28.35" hidden="false" customHeight="false" outlineLevel="0" collapsed="false">
      <c r="A39" s="44" t="n">
        <f aca="false">A38+1</f>
        <v>26</v>
      </c>
      <c r="B39" s="45" t="s">
        <v>1198</v>
      </c>
      <c r="C39" s="45" t="s">
        <v>1199</v>
      </c>
      <c r="D39" s="44" t="s">
        <v>1200</v>
      </c>
      <c r="E39" s="44"/>
      <c r="F39" s="37" t="s">
        <v>874</v>
      </c>
      <c r="G39" s="37" t="s">
        <v>216</v>
      </c>
      <c r="H39" s="44" t="s">
        <v>1201</v>
      </c>
      <c r="I39" s="44" t="n">
        <v>2.5</v>
      </c>
      <c r="J39" s="37" t="s">
        <v>1096</v>
      </c>
      <c r="K39" s="36" t="s">
        <v>1113</v>
      </c>
      <c r="L39" s="44" t="n">
        <v>2.5</v>
      </c>
      <c r="M39" s="41"/>
      <c r="N39" s="35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customFormat="false" ht="15" hidden="false" customHeight="false" outlineLevel="0" collapsed="false">
      <c r="A40" s="44" t="n">
        <f aca="false">A39+1</f>
        <v>27</v>
      </c>
      <c r="B40" s="44" t="s">
        <v>1202</v>
      </c>
      <c r="C40" s="44" t="s">
        <v>1203</v>
      </c>
      <c r="D40" s="44" t="s">
        <v>1204</v>
      </c>
      <c r="E40" s="44" t="s">
        <v>882</v>
      </c>
      <c r="F40" s="37" t="s">
        <v>882</v>
      </c>
      <c r="G40" s="37" t="s">
        <v>216</v>
      </c>
      <c r="H40" s="44"/>
      <c r="I40" s="44" t="n">
        <v>2.5</v>
      </c>
      <c r="J40" s="37" t="s">
        <v>1118</v>
      </c>
      <c r="K40" s="36" t="s">
        <v>1113</v>
      </c>
      <c r="L40" s="44" t="n">
        <v>2.5</v>
      </c>
      <c r="M40" s="41"/>
      <c r="N40" s="35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customFormat="false" ht="15" hidden="false" customHeight="false" outlineLevel="0" collapsed="false">
      <c r="A41" s="44" t="n">
        <f aca="false">A40+1</f>
        <v>28</v>
      </c>
      <c r="B41" s="71" t="s">
        <v>1205</v>
      </c>
      <c r="C41" s="72" t="s">
        <v>1206</v>
      </c>
      <c r="D41" s="44" t="s">
        <v>1207</v>
      </c>
      <c r="E41" s="44"/>
      <c r="F41" s="37" t="s">
        <v>1208</v>
      </c>
      <c r="G41" s="37" t="s">
        <v>216</v>
      </c>
      <c r="H41" s="44"/>
      <c r="I41" s="44" t="n">
        <v>2</v>
      </c>
      <c r="J41" s="37" t="s">
        <v>1118</v>
      </c>
      <c r="K41" s="36" t="s">
        <v>1113</v>
      </c>
      <c r="L41" s="44" t="n">
        <v>2</v>
      </c>
      <c r="M41" s="41"/>
      <c r="N41" s="35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customFormat="false" ht="55.2" hidden="false" customHeight="false" outlineLevel="0" collapsed="false">
      <c r="A42" s="44" t="n">
        <f aca="false">A41+1</f>
        <v>29</v>
      </c>
      <c r="B42" s="45" t="s">
        <v>1209</v>
      </c>
      <c r="C42" s="44"/>
      <c r="D42" s="44"/>
      <c r="E42" s="44"/>
      <c r="F42" s="37" t="s">
        <v>874</v>
      </c>
      <c r="G42" s="37" t="s">
        <v>54</v>
      </c>
      <c r="H42" s="44" t="n">
        <v>2.5</v>
      </c>
      <c r="I42" s="44" t="n">
        <v>5</v>
      </c>
      <c r="J42" s="37" t="s">
        <v>1210</v>
      </c>
      <c r="K42" s="36" t="s">
        <v>1113</v>
      </c>
      <c r="L42" s="44" t="n">
        <v>5</v>
      </c>
      <c r="M42" s="41"/>
      <c r="N42" s="35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customFormat="false" ht="68.65" hidden="false" customHeight="false" outlineLevel="0" collapsed="false">
      <c r="A43" s="44" t="n">
        <f aca="false">A42+1</f>
        <v>30</v>
      </c>
      <c r="B43" s="45" t="s">
        <v>1211</v>
      </c>
      <c r="C43" s="45" t="s">
        <v>1212</v>
      </c>
      <c r="D43" s="45" t="s">
        <v>1213</v>
      </c>
      <c r="E43" s="45"/>
      <c r="F43" s="37" t="s">
        <v>874</v>
      </c>
      <c r="G43" s="37" t="s">
        <v>216</v>
      </c>
      <c r="H43" s="45" t="s">
        <v>1214</v>
      </c>
      <c r="I43" s="45" t="n">
        <v>2</v>
      </c>
      <c r="J43" s="37" t="s">
        <v>1215</v>
      </c>
      <c r="K43" s="36" t="s">
        <v>1216</v>
      </c>
      <c r="L43" s="45" t="n">
        <v>2</v>
      </c>
      <c r="M43" s="41"/>
      <c r="N43" s="35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customFormat="false" ht="55.2" hidden="false" customHeight="false" outlineLevel="0" collapsed="false">
      <c r="A44" s="37" t="n">
        <f aca="false">A43+1</f>
        <v>31</v>
      </c>
      <c r="B44" s="73" t="s">
        <v>1217</v>
      </c>
      <c r="C44" s="74" t="s">
        <v>1218</v>
      </c>
      <c r="D44" s="75" t="s">
        <v>1219</v>
      </c>
      <c r="E44" s="75"/>
      <c r="F44" s="37" t="s">
        <v>874</v>
      </c>
      <c r="G44" s="37" t="s">
        <v>216</v>
      </c>
      <c r="H44" s="75"/>
      <c r="I44" s="37" t="s">
        <v>1220</v>
      </c>
      <c r="J44" s="37" t="s">
        <v>1215</v>
      </c>
      <c r="K44" s="36" t="s">
        <v>1216</v>
      </c>
      <c r="L44" s="37" t="s">
        <v>1220</v>
      </c>
      <c r="M44" s="36"/>
      <c r="N44" s="35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customFormat="false" ht="55.2" hidden="false" customHeight="false" outlineLevel="0" collapsed="false">
      <c r="A45" s="37" t="n">
        <f aca="false">A44+1</f>
        <v>32</v>
      </c>
      <c r="B45" s="73" t="s">
        <v>1217</v>
      </c>
      <c r="C45" s="74" t="s">
        <v>1221</v>
      </c>
      <c r="D45" s="74" t="s">
        <v>1222</v>
      </c>
      <c r="E45" s="75"/>
      <c r="F45" s="37" t="s">
        <v>874</v>
      </c>
      <c r="G45" s="37" t="s">
        <v>216</v>
      </c>
      <c r="H45" s="75"/>
      <c r="I45" s="37" t="s">
        <v>1220</v>
      </c>
      <c r="J45" s="37" t="s">
        <v>1215</v>
      </c>
      <c r="K45" s="36" t="s">
        <v>1216</v>
      </c>
      <c r="L45" s="37" t="s">
        <v>1220</v>
      </c>
      <c r="M45" s="36"/>
      <c r="N45" s="35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customFormat="false" ht="55.2" hidden="false" customHeight="false" outlineLevel="0" collapsed="false">
      <c r="A46" s="37" t="n">
        <f aca="false">A45+1</f>
        <v>33</v>
      </c>
      <c r="B46" s="73" t="s">
        <v>1217</v>
      </c>
      <c r="C46" s="74" t="s">
        <v>1223</v>
      </c>
      <c r="D46" s="75" t="s">
        <v>1224</v>
      </c>
      <c r="E46" s="75"/>
      <c r="F46" s="37" t="s">
        <v>874</v>
      </c>
      <c r="G46" s="37" t="s">
        <v>216</v>
      </c>
      <c r="H46" s="75"/>
      <c r="I46" s="37" t="s">
        <v>1220</v>
      </c>
      <c r="J46" s="37" t="s">
        <v>1215</v>
      </c>
      <c r="K46" s="36" t="s">
        <v>1216</v>
      </c>
      <c r="L46" s="37" t="s">
        <v>1220</v>
      </c>
      <c r="M46" s="36"/>
      <c r="N46" s="35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customFormat="false" ht="55.2" hidden="false" customHeight="false" outlineLevel="0" collapsed="false">
      <c r="A47" s="37" t="n">
        <f aca="false">A46+1</f>
        <v>34</v>
      </c>
      <c r="B47" s="73" t="s">
        <v>1217</v>
      </c>
      <c r="C47" s="73" t="s">
        <v>1225</v>
      </c>
      <c r="D47" s="75" t="s">
        <v>1226</v>
      </c>
      <c r="E47" s="75"/>
      <c r="F47" s="37" t="s">
        <v>874</v>
      </c>
      <c r="G47" s="37" t="s">
        <v>216</v>
      </c>
      <c r="H47" s="75"/>
      <c r="I47" s="37" t="s">
        <v>1220</v>
      </c>
      <c r="J47" s="37" t="s">
        <v>1215</v>
      </c>
      <c r="K47" s="36" t="s">
        <v>1216</v>
      </c>
      <c r="L47" s="37" t="s">
        <v>1220</v>
      </c>
      <c r="M47" s="36"/>
      <c r="N47" s="35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customFormat="false" ht="55.2" hidden="false" customHeight="false" outlineLevel="0" collapsed="false">
      <c r="A48" s="37" t="n">
        <f aca="false">A47+1</f>
        <v>35</v>
      </c>
      <c r="B48" s="73" t="s">
        <v>1217</v>
      </c>
      <c r="C48" s="74" t="s">
        <v>1227</v>
      </c>
      <c r="D48" s="75" t="s">
        <v>1228</v>
      </c>
      <c r="E48" s="75"/>
      <c r="F48" s="37" t="s">
        <v>874</v>
      </c>
      <c r="G48" s="37" t="s">
        <v>216</v>
      </c>
      <c r="H48" s="75"/>
      <c r="I48" s="37" t="s">
        <v>1220</v>
      </c>
      <c r="J48" s="37" t="s">
        <v>1215</v>
      </c>
      <c r="K48" s="36" t="s">
        <v>1216</v>
      </c>
      <c r="L48" s="37" t="s">
        <v>1220</v>
      </c>
      <c r="M48" s="36"/>
      <c r="N48" s="35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customFormat="false" ht="15" hidden="false" customHeight="false" outlineLevel="0" collapsed="false">
      <c r="A49" s="37" t="n">
        <f aca="false">A48+1</f>
        <v>36</v>
      </c>
      <c r="B49" s="76" t="s">
        <v>1229</v>
      </c>
      <c r="C49" s="77"/>
      <c r="D49" s="77"/>
      <c r="E49" s="77"/>
      <c r="F49" s="37" t="s">
        <v>882</v>
      </c>
      <c r="G49" s="37" t="s">
        <v>54</v>
      </c>
      <c r="H49" s="77"/>
      <c r="I49" s="37" t="n">
        <v>10</v>
      </c>
      <c r="J49" s="37" t="s">
        <v>1230</v>
      </c>
      <c r="K49" s="36" t="s">
        <v>1113</v>
      </c>
      <c r="L49" s="37" t="n">
        <v>10</v>
      </c>
      <c r="M49" s="36"/>
      <c r="N49" s="35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customFormat="false" ht="15" hidden="false" customHeight="false" outlineLevel="0" collapsed="false">
      <c r="A50" s="78"/>
      <c r="B50" s="33" t="s">
        <v>1231</v>
      </c>
      <c r="C50" s="33" t="s">
        <v>1232</v>
      </c>
      <c r="D50" s="78"/>
      <c r="E50" s="78"/>
      <c r="F50" s="78"/>
      <c r="G50" s="78"/>
      <c r="H50" s="78"/>
      <c r="I50" s="33" t="n">
        <f aca="false">SUBTOTAL(109,I2:I49)</f>
        <v>177</v>
      </c>
      <c r="J50" s="37"/>
      <c r="K50" s="36"/>
      <c r="L50" s="33" t="n">
        <f aca="false">SUBTOTAL(109,L2:L49)</f>
        <v>160</v>
      </c>
      <c r="M50" s="36"/>
      <c r="N50" s="35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customFormat="false" ht="15" hidden="false" customHeight="fals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5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customFormat="false" ht="15" hidden="false" customHeight="fals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5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customFormat="false" ht="28.35" hidden="false" customHeight="false" outlineLevel="0" collapsed="false">
      <c r="A53" s="36"/>
      <c r="B53" s="79" t="s">
        <v>1233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5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customFormat="false" ht="15" hidden="false" customHeight="fals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5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customFormat="false" ht="15" hidden="false" customHeight="fals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5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customFormat="false" ht="15" hidden="false" customHeight="fals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5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customFormat="false" ht="15" hidden="false" customHeight="fals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5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customFormat="false" ht="15" hidden="false" customHeight="fals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5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customFormat="false" ht="15" hidden="false" customHeight="fals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5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customFormat="false" ht="15" hidden="false" customHeight="fals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5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customFormat="false" ht="15" hidden="false" customHeight="fals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5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customFormat="false" ht="15" hidden="false" customHeight="fals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5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customFormat="false" ht="15" hidden="false" customHeight="fals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5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customFormat="false" ht="15" hidden="false" customHeight="fals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5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customFormat="false" ht="15" hidden="false" customHeight="fals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5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customFormat="false" ht="15" hidden="false" customHeight="fals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5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customFormat="false" ht="15" hidden="false" customHeight="fals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5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customFormat="false" ht="15" hidden="false" customHeight="fals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5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customFormat="false" ht="15" hidden="false" customHeight="fals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5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customFormat="false" ht="15" hidden="false" customHeight="fals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5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customFormat="false" ht="15" hidden="false" customHeight="fals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5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customFormat="false" ht="15" hidden="false" customHeight="fals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5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customFormat="false" ht="15" hidden="false" customHeight="fals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5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customFormat="false" ht="15" hidden="false" customHeight="fals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5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customFormat="false" ht="15" hidden="false" customHeight="fals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5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customFormat="false" ht="15" hidden="false" customHeight="fals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5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customFormat="false" ht="15" hidden="false" customHeight="fals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5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customFormat="false" ht="15" hidden="false" customHeight="fals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5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customFormat="false" ht="15" hidden="false" customHeight="fals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5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customFormat="false" ht="15" hidden="false" customHeight="fals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5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customFormat="false" ht="15" hidden="false" customHeight="fals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5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customFormat="false" ht="15" hidden="false" customHeight="fals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5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customFormat="false" ht="15" hidden="false" customHeight="fals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5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customFormat="false" ht="15" hidden="false" customHeight="fals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 t="n">
        <f aca="false">45/20</f>
        <v>2.25</v>
      </c>
      <c r="N84" s="35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customFormat="false" ht="15" hidden="false" customHeight="fals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5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customFormat="false" ht="15" hidden="false" customHeight="fals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5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customFormat="false" ht="15" hidden="false" customHeight="fals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5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customFormat="false" ht="15" hidden="false" customHeight="fals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5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customFormat="false" ht="15" hidden="false" customHeight="fals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5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customFormat="false" ht="15" hidden="false" customHeight="fals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5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customFormat="false" ht="15" hidden="false" customHeight="fals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5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customFormat="false" ht="15" hidden="false" customHeight="fals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5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customFormat="false" ht="15" hidden="false" customHeight="fals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5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customFormat="false" ht="15" hidden="false" customHeight="fals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5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customFormat="false" ht="15" hidden="false" customHeight="fals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5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customFormat="false" ht="15" hidden="false" customHeight="fals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5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customFormat="false" ht="15" hidden="false" customHeight="fals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5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customFormat="false" ht="15" hidden="false" customHeight="fals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5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customFormat="false" ht="15" hidden="false" customHeight="fals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5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customFormat="false" ht="15" hidden="false" customHeight="fals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5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customFormat="false" ht="15" hidden="false" customHeight="fals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5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customFormat="false" ht="15" hidden="false" customHeight="fals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5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customFormat="false" ht="15" hidden="false" customHeight="fals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5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customFormat="false" ht="15" hidden="false" customHeight="fals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5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customFormat="false" ht="15" hidden="false" customHeight="fals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5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customFormat="false" ht="15" hidden="false" customHeight="fals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5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customFormat="false" ht="15" hidden="false" customHeight="fals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5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customFormat="false" ht="15" hidden="false" customHeight="fals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5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customFormat="false" ht="15" hidden="false" customHeight="fals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5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customFormat="false" ht="15" hidden="false" customHeight="fals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5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customFormat="false" ht="15" hidden="false" customHeight="fals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5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customFormat="false" ht="15" hidden="false" customHeight="fals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5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customFormat="false" ht="15" hidden="false" customHeight="fals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5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customFormat="false" ht="15" hidden="false" customHeight="fals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5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customFormat="false" ht="15" hidden="false" customHeight="fals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5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customFormat="false" ht="15" hidden="false" customHeight="fals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5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customFormat="false" ht="15" hidden="false" customHeight="fals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5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customFormat="false" ht="15" hidden="false" customHeight="fals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5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customFormat="false" ht="15" hidden="false" customHeight="fals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5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customFormat="false" ht="15" hidden="false" customHeight="fals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5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customFormat="false" ht="15" hidden="false" customHeight="fals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5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customFormat="false" ht="15" hidden="false" customHeight="fals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5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customFormat="false" ht="15" hidden="false" customHeight="fals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5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customFormat="false" ht="15" hidden="false" customHeight="fals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5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customFormat="false" ht="15" hidden="false" customHeight="fals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5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customFormat="false" ht="15" hidden="false" customHeight="fals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5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customFormat="false" ht="15" hidden="false" customHeight="fals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5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customFormat="false" ht="15" hidden="false" customHeight="fals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5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customFormat="false" ht="15" hidden="false" customHeight="fals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5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customFormat="false" ht="15" hidden="false" customHeight="fals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5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customFormat="false" ht="15" hidden="false" customHeight="fals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5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customFormat="false" ht="15" hidden="false" customHeight="fals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5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customFormat="false" ht="15" hidden="false" customHeight="fals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5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customFormat="false" ht="15" hidden="false" customHeight="fals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5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customFormat="false" ht="15" hidden="false" customHeight="fals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5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customFormat="false" ht="15" hidden="false" customHeight="fals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5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customFormat="false" ht="15" hidden="false" customHeight="fals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5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customFormat="false" ht="15" hidden="false" customHeight="fals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5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customFormat="false" ht="15" hidden="false" customHeight="fals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5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customFormat="false" ht="15" hidden="false" customHeight="fals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5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customFormat="false" ht="15" hidden="false" customHeight="fals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5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customFormat="false" ht="15" hidden="false" customHeight="fals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5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customFormat="false" ht="15" hidden="false" customHeight="fals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5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customFormat="false" ht="15" hidden="false" customHeight="fals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5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customFormat="false" ht="15" hidden="false" customHeight="fals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5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customFormat="false" ht="15" hidden="false" customHeight="fals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5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customFormat="false" ht="15" hidden="false" customHeight="fals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5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customFormat="false" ht="15" hidden="false" customHeight="fals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5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customFormat="false" ht="15" hidden="false" customHeight="fals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5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customFormat="false" ht="15" hidden="false" customHeight="fals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5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customFormat="false" ht="15" hidden="false" customHeight="fals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5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customFormat="false" ht="15" hidden="false" customHeight="fals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5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customFormat="false" ht="15" hidden="false" customHeight="fals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5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customFormat="false" ht="15" hidden="false" customHeight="fals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5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customFormat="false" ht="15" hidden="false" customHeight="fals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5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customFormat="false" ht="15" hidden="false" customHeight="fals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5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customFormat="false" ht="15" hidden="false" customHeight="fals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5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customFormat="false" ht="15" hidden="false" customHeight="fals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5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customFormat="false" ht="15" hidden="false" customHeight="fals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5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customFormat="false" ht="15" hidden="false" customHeight="fals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5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customFormat="false" ht="15" hidden="false" customHeight="fals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5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customFormat="false" ht="15" hidden="false" customHeight="fals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5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customFormat="false" ht="15" hidden="false" customHeight="fals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5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customFormat="false" ht="15" hidden="false" customHeight="fals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5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customFormat="false" ht="15" hidden="false" customHeight="fals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5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customFormat="false" ht="15" hidden="false" customHeight="fals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5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customFormat="false" ht="15" hidden="false" customHeight="fals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5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customFormat="false" ht="15" hidden="false" customHeight="fals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5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customFormat="false" ht="15" hidden="false" customHeight="fals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5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customFormat="false" ht="15" hidden="false" customHeight="fals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5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customFormat="false" ht="15" hidden="false" customHeight="fals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5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customFormat="false" ht="15" hidden="false" customHeight="fals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5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customFormat="false" ht="15" hidden="false" customHeight="fals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5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customFormat="false" ht="15" hidden="false" customHeight="fals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5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customFormat="false" ht="15" hidden="false" customHeight="fals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5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customFormat="false" ht="15" hidden="false" customHeight="fals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5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customFormat="false" ht="15" hidden="false" customHeight="fals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5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customFormat="false" ht="15" hidden="false" customHeight="fals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5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customFormat="false" ht="15" hidden="false" customHeight="fals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5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customFormat="false" ht="15" hidden="false" customHeight="fals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5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customFormat="false" ht="15" hidden="false" customHeight="fals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5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customFormat="false" ht="15" hidden="false" customHeight="fals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5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customFormat="false" ht="15" hidden="false" customHeight="fals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5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customFormat="false" ht="15" hidden="false" customHeight="fals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5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customFormat="false" ht="15" hidden="false" customHeight="fals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5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customFormat="false" ht="15" hidden="false" customHeight="fals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5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customFormat="false" ht="15" hidden="false" customHeight="fals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5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customFormat="false" ht="15" hidden="false" customHeight="fals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5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customFormat="false" ht="15" hidden="false" customHeight="fals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5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customFormat="false" ht="15" hidden="false" customHeight="fals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5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customFormat="false" ht="15" hidden="false" customHeight="fals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5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customFormat="false" ht="15" hidden="false" customHeight="fals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5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customFormat="false" ht="15" hidden="false" customHeight="fals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5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customFormat="false" ht="15" hidden="false" customHeight="fals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5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customFormat="false" ht="15" hidden="false" customHeight="fals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5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customFormat="false" ht="15" hidden="false" customHeight="fals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5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customFormat="false" ht="15" hidden="false" customHeight="fals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5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customFormat="false" ht="15" hidden="false" customHeight="fals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5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customFormat="false" ht="15" hidden="false" customHeight="fals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5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customFormat="false" ht="15" hidden="false" customHeight="fals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5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customFormat="false" ht="15" hidden="false" customHeight="fals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5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customFormat="false" ht="15" hidden="false" customHeight="fals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5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customFormat="false" ht="15" hidden="false" customHeight="fals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5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customFormat="false" ht="15" hidden="false" customHeight="fals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5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customFormat="false" ht="15" hidden="false" customHeight="fals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5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customFormat="false" ht="15" hidden="false" customHeight="fals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5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customFormat="false" ht="15" hidden="false" customHeight="fals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5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customFormat="false" ht="15" hidden="false" customHeight="fals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5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customFormat="false" ht="15" hidden="false" customHeight="fals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5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customFormat="false" ht="15" hidden="false" customHeight="fals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5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customFormat="false" ht="15" hidden="false" customHeight="fals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5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customFormat="false" ht="15" hidden="false" customHeight="fals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5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customFormat="false" ht="15" hidden="false" customHeight="fals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5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customFormat="false" ht="15" hidden="false" customHeight="fals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5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customFormat="false" ht="15" hidden="false" customHeight="fals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5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customFormat="false" ht="15" hidden="false" customHeight="fals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5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customFormat="false" ht="15" hidden="false" customHeight="fals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5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customFormat="false" ht="15" hidden="false" customHeight="fals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5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customFormat="false" ht="15" hidden="false" customHeight="fals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5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customFormat="false" ht="15" hidden="false" customHeight="fals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5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customFormat="false" ht="15" hidden="false" customHeight="false" outlineLevel="0" collapsed="false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5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customFormat="false" ht="15" hidden="false" customHeight="false" outlineLevel="0" collapsed="false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5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customFormat="false" ht="15" hidden="false" customHeight="false" outlineLevel="0" collapsed="false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5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customFormat="false" ht="15" hidden="false" customHeight="false" outlineLevel="0" collapsed="false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5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customFormat="false" ht="15" hidden="false" customHeight="false" outlineLevel="0" collapsed="false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5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customFormat="false" ht="15" hidden="false" customHeight="false" outlineLevel="0" collapsed="false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5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customFormat="false" ht="15" hidden="false" customHeight="false" outlineLevel="0" collapsed="false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5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customFormat="false" ht="15" hidden="false" customHeight="false" outlineLevel="0" collapsed="false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5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customFormat="false" ht="15" hidden="false" customHeight="false" outlineLevel="0" collapsed="false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5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customFormat="false" ht="15" hidden="false" customHeight="false" outlineLevel="0" collapsed="false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5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customFormat="false" ht="15" hidden="false" customHeight="false" outlineLevel="0" collapsed="false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5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customFormat="false" ht="15" hidden="false" customHeight="false" outlineLevel="0" collapsed="false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5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customFormat="false" ht="15" hidden="false" customHeight="false" outlineLevel="0" collapsed="false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5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customFormat="false" ht="15" hidden="false" customHeight="false" outlineLevel="0" collapsed="false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5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customFormat="false" ht="15" hidden="false" customHeight="false" outlineLevel="0" collapsed="false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5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customFormat="false" ht="15" hidden="false" customHeight="false" outlineLevel="0" collapsed="false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5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customFormat="false" ht="15" hidden="false" customHeight="false" outlineLevel="0" collapsed="false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5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customFormat="false" ht="15" hidden="false" customHeight="false" outlineLevel="0" collapsed="false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5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customFormat="false" ht="15" hidden="false" customHeight="false" outlineLevel="0" collapsed="false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5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customFormat="false" ht="15" hidden="false" customHeight="false" outlineLevel="0" collapsed="false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5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customFormat="false" ht="15" hidden="false" customHeight="false" outlineLevel="0" collapsed="false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5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customFormat="false" ht="15" hidden="false" customHeight="false" outlineLevel="0" collapsed="false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5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customFormat="false" ht="15" hidden="false" customHeight="false" outlineLevel="0" collapsed="false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5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customFormat="false" ht="15" hidden="false" customHeight="false" outlineLevel="0" collapsed="false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5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customFormat="false" ht="15" hidden="false" customHeight="false" outlineLevel="0" collapsed="false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5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customFormat="false" ht="15" hidden="false" customHeight="false" outlineLevel="0" collapsed="false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5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customFormat="false" ht="15" hidden="false" customHeight="false" outlineLevel="0" collapsed="false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5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customFormat="false" ht="15" hidden="false" customHeight="false" outlineLevel="0" collapsed="false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5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customFormat="false" ht="15" hidden="false" customHeight="false" outlineLevel="0" collapsed="false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5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customFormat="false" ht="15" hidden="false" customHeight="false" outlineLevel="0" collapsed="false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5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customFormat="false" ht="15" hidden="false" customHeight="false" outlineLevel="0" collapsed="false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5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customFormat="false" ht="15" hidden="false" customHeight="false" outlineLevel="0" collapsed="false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5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customFormat="false" ht="15" hidden="false" customHeight="false" outlineLevel="0" collapsed="false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5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customFormat="false" ht="15" hidden="false" customHeight="false" outlineLevel="0" collapsed="false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5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customFormat="false" ht="15" hidden="false" customHeight="false" outlineLevel="0" collapsed="false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5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customFormat="false" ht="15" hidden="false" customHeight="false" outlineLevel="0" collapsed="false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5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customFormat="false" ht="15" hidden="false" customHeight="false" outlineLevel="0" collapsed="false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5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customFormat="false" ht="15" hidden="false" customHeight="false" outlineLevel="0" collapsed="false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5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customFormat="false" ht="15" hidden="false" customHeight="false" outlineLevel="0" collapsed="false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5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customFormat="false" ht="15" hidden="false" customHeight="false" outlineLevel="0" collapsed="false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5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customFormat="false" ht="15" hidden="false" customHeight="false" outlineLevel="0" collapsed="false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5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customFormat="false" ht="15" hidden="false" customHeight="false" outlineLevel="0" collapsed="false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5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customFormat="false" ht="15" hidden="false" customHeight="false" outlineLevel="0" collapsed="false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5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customFormat="false" ht="15" hidden="false" customHeight="false" outlineLevel="0" collapsed="false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5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customFormat="false" ht="15" hidden="false" customHeight="false" outlineLevel="0" collapsed="false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5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customFormat="false" ht="15" hidden="false" customHeight="false" outlineLevel="0" collapsed="false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5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customFormat="false" ht="15" hidden="false" customHeight="false" outlineLevel="0" collapsed="false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5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customFormat="false" ht="15" hidden="false" customHeight="false" outlineLevel="0" collapsed="false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5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customFormat="false" ht="15" hidden="false" customHeight="false" outlineLevel="0" collapsed="false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5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customFormat="false" ht="15" hidden="false" customHeight="false" outlineLevel="0" collapsed="false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5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customFormat="false" ht="15" hidden="false" customHeight="false" outlineLevel="0" collapsed="false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5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customFormat="false" ht="15" hidden="false" customHeight="false" outlineLevel="0" collapsed="false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5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customFormat="false" ht="15" hidden="false" customHeight="false" outlineLevel="0" collapsed="false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5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customFormat="false" ht="15" hidden="false" customHeight="false" outlineLevel="0" collapsed="false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5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customFormat="false" ht="15" hidden="false" customHeight="false" outlineLevel="0" collapsed="false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5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customFormat="false" ht="15" hidden="false" customHeight="false" outlineLevel="0" collapsed="false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5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customFormat="false" ht="15" hidden="false" customHeight="false" outlineLevel="0" collapsed="false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5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customFormat="false" ht="15" hidden="false" customHeight="false" outlineLevel="0" collapsed="false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5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customFormat="false" ht="15" hidden="false" customHeight="false" outlineLevel="0" collapsed="false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5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customFormat="false" ht="15" hidden="false" customHeight="false" outlineLevel="0" collapsed="false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5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customFormat="false" ht="15" hidden="false" customHeight="false" outlineLevel="0" collapsed="false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5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customFormat="false" ht="15" hidden="false" customHeight="false" outlineLevel="0" collapsed="false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5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customFormat="false" ht="15" hidden="false" customHeight="false" outlineLevel="0" collapsed="false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5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customFormat="false" ht="15" hidden="false" customHeight="false" outlineLevel="0" collapsed="false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5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customFormat="false" ht="15" hidden="false" customHeight="false" outlineLevel="0" collapsed="false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5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customFormat="false" ht="15" hidden="false" customHeight="false" outlineLevel="0" collapsed="false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5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customFormat="false" ht="15" hidden="false" customHeight="false" outlineLevel="0" collapsed="false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5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customFormat="false" ht="15" hidden="false" customHeight="false" outlineLevel="0" collapsed="false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5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customFormat="false" ht="15" hidden="false" customHeight="false" outlineLevel="0" collapsed="false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5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customFormat="false" ht="15" hidden="false" customHeight="false" outlineLevel="0" collapsed="false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5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customFormat="false" ht="15" hidden="false" customHeight="false" outlineLevel="0" collapsed="false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5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customFormat="false" ht="15" hidden="false" customHeight="false" outlineLevel="0" collapsed="false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5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customFormat="false" ht="15" hidden="false" customHeight="false" outlineLevel="0" collapsed="false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5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customFormat="false" ht="15" hidden="false" customHeight="false" outlineLevel="0" collapsed="false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5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customFormat="false" ht="15" hidden="false" customHeight="false" outlineLevel="0" collapsed="false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5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customFormat="false" ht="15" hidden="false" customHeight="false" outlineLevel="0" collapsed="false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5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customFormat="false" ht="15" hidden="false" customHeight="false" outlineLevel="0" collapsed="false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5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customFormat="false" ht="15" hidden="false" customHeight="false" outlineLevel="0" collapsed="false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5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customFormat="false" ht="15" hidden="false" customHeight="false" outlineLevel="0" collapsed="false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5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customFormat="false" ht="15" hidden="false" customHeight="false" outlineLevel="0" collapsed="false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5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customFormat="false" ht="15" hidden="false" customHeight="false" outlineLevel="0" collapsed="false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5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customFormat="false" ht="15" hidden="false" customHeight="false" outlineLevel="0" collapsed="false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5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customFormat="false" ht="15" hidden="false" customHeight="false" outlineLevel="0" collapsed="false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5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customFormat="false" ht="15" hidden="false" customHeight="false" outlineLevel="0" collapsed="false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5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customFormat="false" ht="15" hidden="false" customHeight="false" outlineLevel="0" collapsed="false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5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customFormat="false" ht="15" hidden="false" customHeight="false" outlineLevel="0" collapsed="false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5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customFormat="false" ht="15" hidden="false" customHeight="false" outlineLevel="0" collapsed="false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5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customFormat="false" ht="15" hidden="false" customHeight="false" outlineLevel="0" collapsed="false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5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customFormat="false" ht="15" hidden="false" customHeight="false" outlineLevel="0" collapsed="false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5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customFormat="false" ht="15" hidden="false" customHeight="false" outlineLevel="0" collapsed="false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5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customFormat="false" ht="15" hidden="false" customHeight="false" outlineLevel="0" collapsed="false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5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customFormat="false" ht="15" hidden="false" customHeight="false" outlineLevel="0" collapsed="false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5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customFormat="false" ht="15" hidden="false" customHeight="false" outlineLevel="0" collapsed="false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5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customFormat="false" ht="15" hidden="false" customHeight="false" outlineLevel="0" collapsed="false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5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customFormat="false" ht="15" hidden="false" customHeight="false" outlineLevel="0" collapsed="false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5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customFormat="false" ht="15" hidden="false" customHeight="false" outlineLevel="0" collapsed="false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5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customFormat="false" ht="15" hidden="false" customHeight="false" outlineLevel="0" collapsed="false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5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customFormat="false" ht="15" hidden="false" customHeight="false" outlineLevel="0" collapsed="false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5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customFormat="false" ht="15" hidden="false" customHeight="false" outlineLevel="0" collapsed="false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5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customFormat="false" ht="15" hidden="false" customHeight="false" outlineLevel="0" collapsed="false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5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customFormat="false" ht="15" hidden="false" customHeight="false" outlineLevel="0" collapsed="false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5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customFormat="false" ht="15" hidden="false" customHeight="false" outlineLevel="0" collapsed="false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5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customFormat="false" ht="15" hidden="false" customHeight="false" outlineLevel="0" collapsed="false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5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customFormat="false" ht="15" hidden="false" customHeight="false" outlineLevel="0" collapsed="false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5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customFormat="false" ht="15" hidden="false" customHeight="false" outlineLevel="0" collapsed="false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5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customFormat="false" ht="15" hidden="false" customHeight="false" outlineLevel="0" collapsed="false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5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customFormat="false" ht="15" hidden="false" customHeight="false" outlineLevel="0" collapsed="false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5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customFormat="false" ht="15" hidden="false" customHeight="false" outlineLevel="0" collapsed="false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5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customFormat="false" ht="15" hidden="false" customHeight="false" outlineLevel="0" collapsed="false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5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customFormat="false" ht="15" hidden="false" customHeight="false" outlineLevel="0" collapsed="false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5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customFormat="false" ht="15" hidden="false" customHeight="false" outlineLevel="0" collapsed="false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5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customFormat="false" ht="15" hidden="false" customHeight="false" outlineLevel="0" collapsed="false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5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customFormat="false" ht="15" hidden="false" customHeight="false" outlineLevel="0" collapsed="false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5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customFormat="false" ht="15" hidden="false" customHeight="false" outlineLevel="0" collapsed="false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5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customFormat="false" ht="15" hidden="false" customHeight="false" outlineLevel="0" collapsed="false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5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customFormat="false" ht="15" hidden="false" customHeight="false" outlineLevel="0" collapsed="false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5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customFormat="false" ht="15" hidden="false" customHeight="false" outlineLevel="0" collapsed="false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5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customFormat="false" ht="15" hidden="false" customHeight="false" outlineLevel="0" collapsed="false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5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customFormat="false" ht="15" hidden="false" customHeight="false" outlineLevel="0" collapsed="false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5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customFormat="false" ht="15" hidden="false" customHeight="false" outlineLevel="0" collapsed="false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5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customFormat="false" ht="15" hidden="false" customHeight="false" outlineLevel="0" collapsed="false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5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customFormat="false" ht="15" hidden="false" customHeight="false" outlineLevel="0" collapsed="false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5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customFormat="false" ht="15" hidden="false" customHeight="false" outlineLevel="0" collapsed="false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5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customFormat="false" ht="15" hidden="false" customHeight="false" outlineLevel="0" collapsed="false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5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customFormat="false" ht="15" hidden="false" customHeight="false" outlineLevel="0" collapsed="false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5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customFormat="false" ht="15" hidden="false" customHeight="false" outlineLevel="0" collapsed="false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5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customFormat="false" ht="15" hidden="false" customHeight="false" outlineLevel="0" collapsed="false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5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customFormat="false" ht="15" hidden="false" customHeight="false" outlineLevel="0" collapsed="false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5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customFormat="false" ht="15" hidden="false" customHeight="false" outlineLevel="0" collapsed="false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5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customFormat="false" ht="15" hidden="false" customHeight="false" outlineLevel="0" collapsed="false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5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customFormat="false" ht="15" hidden="false" customHeight="false" outlineLevel="0" collapsed="false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5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customFormat="false" ht="15" hidden="false" customHeight="false" outlineLevel="0" collapsed="false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5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customFormat="false" ht="15" hidden="false" customHeight="false" outlineLevel="0" collapsed="false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5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customFormat="false" ht="15" hidden="false" customHeight="false" outlineLevel="0" collapsed="false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5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customFormat="false" ht="15" hidden="false" customHeight="false" outlineLevel="0" collapsed="false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5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customFormat="false" ht="15" hidden="false" customHeight="false" outlineLevel="0" collapsed="false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5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customFormat="false" ht="15" hidden="false" customHeight="false" outlineLevel="0" collapsed="false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5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customFormat="false" ht="15" hidden="false" customHeight="false" outlineLevel="0" collapsed="false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5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customFormat="false" ht="15" hidden="false" customHeight="false" outlineLevel="0" collapsed="false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5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customFormat="false" ht="15" hidden="false" customHeight="false" outlineLevel="0" collapsed="false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5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customFormat="false" ht="15" hidden="false" customHeight="false" outlineLevel="0" collapsed="false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5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customFormat="false" ht="15" hidden="false" customHeight="false" outlineLevel="0" collapsed="false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5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customFormat="false" ht="15" hidden="false" customHeight="false" outlineLevel="0" collapsed="false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5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customFormat="false" ht="15" hidden="false" customHeight="false" outlineLevel="0" collapsed="false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5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customFormat="false" ht="15" hidden="false" customHeight="false" outlineLevel="0" collapsed="false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5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customFormat="false" ht="15" hidden="false" customHeight="false" outlineLevel="0" collapsed="false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5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customFormat="false" ht="15" hidden="false" customHeight="false" outlineLevel="0" collapsed="false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5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customFormat="false" ht="15" hidden="false" customHeight="false" outlineLevel="0" collapsed="false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5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customFormat="false" ht="15" hidden="false" customHeight="false" outlineLevel="0" collapsed="false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5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customFormat="false" ht="15" hidden="false" customHeight="false" outlineLevel="0" collapsed="false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5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customFormat="false" ht="15" hidden="false" customHeight="false" outlineLevel="0" collapsed="false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5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customFormat="false" ht="15" hidden="false" customHeight="false" outlineLevel="0" collapsed="false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5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customFormat="false" ht="15" hidden="false" customHeight="false" outlineLevel="0" collapsed="false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5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customFormat="false" ht="15" hidden="false" customHeight="false" outlineLevel="0" collapsed="false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5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customFormat="false" ht="15" hidden="false" customHeight="false" outlineLevel="0" collapsed="false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5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customFormat="false" ht="15" hidden="false" customHeight="false" outlineLevel="0" collapsed="false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5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customFormat="false" ht="15" hidden="false" customHeight="false" outlineLevel="0" collapsed="false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5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customFormat="false" ht="15" hidden="false" customHeight="false" outlineLevel="0" collapsed="false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5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customFormat="false" ht="15" hidden="false" customHeight="false" outlineLevel="0" collapsed="false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5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customFormat="false" ht="15" hidden="false" customHeight="false" outlineLevel="0" collapsed="false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5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customFormat="false" ht="15" hidden="false" customHeight="false" outlineLevel="0" collapsed="false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5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customFormat="false" ht="15" hidden="false" customHeight="false" outlineLevel="0" collapsed="false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5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customFormat="false" ht="15" hidden="false" customHeight="false" outlineLevel="0" collapsed="false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5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customFormat="false" ht="15" hidden="false" customHeight="false" outlineLevel="0" collapsed="false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5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customFormat="false" ht="15" hidden="false" customHeight="false" outlineLevel="0" collapsed="false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5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customFormat="false" ht="15" hidden="false" customHeight="false" outlineLevel="0" collapsed="false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5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customFormat="false" ht="15" hidden="false" customHeight="false" outlineLevel="0" collapsed="false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5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customFormat="false" ht="15" hidden="false" customHeight="false" outlineLevel="0" collapsed="false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5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customFormat="false" ht="15" hidden="false" customHeight="false" outlineLevel="0" collapsed="false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5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customFormat="false" ht="15" hidden="false" customHeight="false" outlineLevel="0" collapsed="false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5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customFormat="false" ht="15" hidden="false" customHeight="false" outlineLevel="0" collapsed="false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5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customFormat="false" ht="15" hidden="false" customHeight="false" outlineLevel="0" collapsed="false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5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customFormat="false" ht="15" hidden="false" customHeight="false" outlineLevel="0" collapsed="false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5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customFormat="false" ht="15" hidden="false" customHeight="false" outlineLevel="0" collapsed="false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5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customFormat="false" ht="15" hidden="false" customHeight="false" outlineLevel="0" collapsed="false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5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customFormat="false" ht="15" hidden="false" customHeight="false" outlineLevel="0" collapsed="false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5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customFormat="false" ht="15" hidden="false" customHeight="false" outlineLevel="0" collapsed="false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5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customFormat="false" ht="15" hidden="false" customHeight="false" outlineLevel="0" collapsed="false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5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customFormat="false" ht="15" hidden="false" customHeight="false" outlineLevel="0" collapsed="false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5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customFormat="false" ht="15" hidden="false" customHeight="false" outlineLevel="0" collapsed="false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5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customFormat="false" ht="15" hidden="false" customHeight="false" outlineLevel="0" collapsed="false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5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customFormat="false" ht="15" hidden="false" customHeight="false" outlineLevel="0" collapsed="false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5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customFormat="false" ht="15" hidden="false" customHeight="false" outlineLevel="0" collapsed="false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5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customFormat="false" ht="15" hidden="false" customHeight="false" outlineLevel="0" collapsed="false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5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customFormat="false" ht="15" hidden="false" customHeight="false" outlineLevel="0" collapsed="false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5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customFormat="false" ht="15" hidden="false" customHeight="false" outlineLevel="0" collapsed="false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5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customFormat="false" ht="15" hidden="false" customHeight="false" outlineLevel="0" collapsed="false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5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customFormat="false" ht="15" hidden="false" customHeight="false" outlineLevel="0" collapsed="false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5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customFormat="false" ht="15" hidden="false" customHeight="false" outlineLevel="0" collapsed="false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5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customFormat="false" ht="15" hidden="false" customHeight="false" outlineLevel="0" collapsed="false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5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customFormat="false" ht="15" hidden="false" customHeight="false" outlineLevel="0" collapsed="false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5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customFormat="false" ht="15" hidden="false" customHeight="false" outlineLevel="0" collapsed="false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5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customFormat="false" ht="15" hidden="false" customHeight="false" outlineLevel="0" collapsed="false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5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customFormat="false" ht="15" hidden="false" customHeight="false" outlineLevel="0" collapsed="false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5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customFormat="false" ht="15" hidden="false" customHeight="false" outlineLevel="0" collapsed="false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5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customFormat="false" ht="15" hidden="false" customHeight="false" outlineLevel="0" collapsed="false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5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customFormat="false" ht="15" hidden="false" customHeight="false" outlineLevel="0" collapsed="false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5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customFormat="false" ht="15" hidden="false" customHeight="false" outlineLevel="0" collapsed="false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5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customFormat="false" ht="15" hidden="false" customHeight="false" outlineLevel="0" collapsed="false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5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customFormat="false" ht="15" hidden="false" customHeight="false" outlineLevel="0" collapsed="false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5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customFormat="false" ht="15" hidden="false" customHeight="false" outlineLevel="0" collapsed="false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5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customFormat="false" ht="15" hidden="false" customHeight="false" outlineLevel="0" collapsed="false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5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customFormat="false" ht="15" hidden="false" customHeight="false" outlineLevel="0" collapsed="false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5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customFormat="false" ht="15" hidden="false" customHeight="false" outlineLevel="0" collapsed="false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5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customFormat="false" ht="15" hidden="false" customHeight="false" outlineLevel="0" collapsed="false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5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customFormat="false" ht="15" hidden="false" customHeight="false" outlineLevel="0" collapsed="false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5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customFormat="false" ht="15" hidden="false" customHeight="false" outlineLevel="0" collapsed="false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5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customFormat="false" ht="15" hidden="false" customHeight="false" outlineLevel="0" collapsed="false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5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customFormat="false" ht="15" hidden="false" customHeight="false" outlineLevel="0" collapsed="false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5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customFormat="false" ht="15" hidden="false" customHeight="false" outlineLevel="0" collapsed="false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5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customFormat="false" ht="15" hidden="false" customHeight="false" outlineLevel="0" collapsed="false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5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customFormat="false" ht="15" hidden="false" customHeight="false" outlineLevel="0" collapsed="false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5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customFormat="false" ht="15" hidden="false" customHeight="false" outlineLevel="0" collapsed="false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5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customFormat="false" ht="15" hidden="false" customHeight="false" outlineLevel="0" collapsed="false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5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customFormat="false" ht="15" hidden="false" customHeight="false" outlineLevel="0" collapsed="false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5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customFormat="false" ht="15" hidden="false" customHeight="false" outlineLevel="0" collapsed="false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5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customFormat="false" ht="15" hidden="false" customHeight="false" outlineLevel="0" collapsed="false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5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customFormat="false" ht="15" hidden="false" customHeight="false" outlineLevel="0" collapsed="false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5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customFormat="false" ht="15" hidden="false" customHeight="false" outlineLevel="0" collapsed="false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5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customFormat="false" ht="15" hidden="false" customHeight="false" outlineLevel="0" collapsed="false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5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customFormat="false" ht="15" hidden="false" customHeight="false" outlineLevel="0" collapsed="false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5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customFormat="false" ht="15" hidden="false" customHeight="false" outlineLevel="0" collapsed="false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5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customFormat="false" ht="15" hidden="false" customHeight="false" outlineLevel="0" collapsed="false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5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customFormat="false" ht="15" hidden="false" customHeight="false" outlineLevel="0" collapsed="false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5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customFormat="false" ht="15" hidden="false" customHeight="false" outlineLevel="0" collapsed="false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5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customFormat="false" ht="15" hidden="false" customHeight="false" outlineLevel="0" collapsed="false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5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customFormat="false" ht="15" hidden="false" customHeight="false" outlineLevel="0" collapsed="false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5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customFormat="false" ht="15" hidden="false" customHeight="false" outlineLevel="0" collapsed="false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5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customFormat="false" ht="15" hidden="false" customHeight="false" outlineLevel="0" collapsed="false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5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customFormat="false" ht="15" hidden="false" customHeight="false" outlineLevel="0" collapsed="false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5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customFormat="false" ht="15" hidden="false" customHeight="false" outlineLevel="0" collapsed="false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5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customFormat="false" ht="15" hidden="false" customHeight="false" outlineLevel="0" collapsed="false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5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customFormat="false" ht="15" hidden="false" customHeight="false" outlineLevel="0" collapsed="false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5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customFormat="false" ht="15" hidden="false" customHeight="false" outlineLevel="0" collapsed="false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5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customFormat="false" ht="15" hidden="false" customHeight="false" outlineLevel="0" collapsed="false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5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customFormat="false" ht="15" hidden="false" customHeight="false" outlineLevel="0" collapsed="false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5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customFormat="false" ht="15" hidden="false" customHeight="false" outlineLevel="0" collapsed="false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5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customFormat="false" ht="15" hidden="false" customHeight="false" outlineLevel="0" collapsed="false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5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customFormat="false" ht="15" hidden="false" customHeight="false" outlineLevel="0" collapsed="false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5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customFormat="false" ht="15" hidden="false" customHeight="false" outlineLevel="0" collapsed="false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5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customFormat="false" ht="15" hidden="false" customHeight="false" outlineLevel="0" collapsed="false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5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customFormat="false" ht="15" hidden="false" customHeight="false" outlineLevel="0" collapsed="false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5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customFormat="false" ht="15" hidden="false" customHeight="false" outlineLevel="0" collapsed="false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5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customFormat="false" ht="15" hidden="false" customHeight="false" outlineLevel="0" collapsed="false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5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customFormat="false" ht="15" hidden="false" customHeight="false" outlineLevel="0" collapsed="false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5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customFormat="false" ht="15" hidden="false" customHeight="false" outlineLevel="0" collapsed="false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5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customFormat="false" ht="15" hidden="false" customHeight="false" outlineLevel="0" collapsed="false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5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customFormat="false" ht="15" hidden="false" customHeight="false" outlineLevel="0" collapsed="false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5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customFormat="false" ht="15" hidden="false" customHeight="false" outlineLevel="0" collapsed="false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5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customFormat="false" ht="15" hidden="false" customHeight="false" outlineLevel="0" collapsed="false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5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customFormat="false" ht="15" hidden="false" customHeight="false" outlineLevel="0" collapsed="false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5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customFormat="false" ht="15" hidden="false" customHeight="false" outlineLevel="0" collapsed="false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5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customFormat="false" ht="15" hidden="false" customHeight="false" outlineLevel="0" collapsed="false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5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customFormat="false" ht="15" hidden="false" customHeight="false" outlineLevel="0" collapsed="false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5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customFormat="false" ht="15" hidden="false" customHeight="false" outlineLevel="0" collapsed="false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5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customFormat="false" ht="15" hidden="false" customHeight="false" outlineLevel="0" collapsed="false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5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customFormat="false" ht="15" hidden="false" customHeight="false" outlineLevel="0" collapsed="false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5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customFormat="false" ht="15" hidden="false" customHeight="false" outlineLevel="0" collapsed="false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5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customFormat="false" ht="15" hidden="false" customHeight="false" outlineLevel="0" collapsed="false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5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customFormat="false" ht="15" hidden="false" customHeight="false" outlineLevel="0" collapsed="false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5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customFormat="false" ht="15" hidden="false" customHeight="false" outlineLevel="0" collapsed="false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5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customFormat="false" ht="15" hidden="false" customHeight="false" outlineLevel="0" collapsed="false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5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customFormat="false" ht="15" hidden="false" customHeight="false" outlineLevel="0" collapsed="false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5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customFormat="false" ht="15" hidden="false" customHeight="false" outlineLevel="0" collapsed="false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5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customFormat="false" ht="15" hidden="false" customHeight="false" outlineLevel="0" collapsed="false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5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customFormat="false" ht="15" hidden="false" customHeight="false" outlineLevel="0" collapsed="false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5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customFormat="false" ht="15" hidden="false" customHeight="false" outlineLevel="0" collapsed="false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5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customFormat="false" ht="15" hidden="false" customHeight="false" outlineLevel="0" collapsed="false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5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customFormat="false" ht="15" hidden="false" customHeight="false" outlineLevel="0" collapsed="false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5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customFormat="false" ht="15" hidden="false" customHeight="false" outlineLevel="0" collapsed="false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5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customFormat="false" ht="15" hidden="false" customHeight="false" outlineLevel="0" collapsed="false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5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customFormat="false" ht="15" hidden="false" customHeight="false" outlineLevel="0" collapsed="false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5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customFormat="false" ht="15" hidden="false" customHeight="false" outlineLevel="0" collapsed="false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5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customFormat="false" ht="15" hidden="false" customHeight="false" outlineLevel="0" collapsed="false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5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customFormat="false" ht="15" hidden="false" customHeight="false" outlineLevel="0" collapsed="false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5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customFormat="false" ht="15" hidden="false" customHeight="false" outlineLevel="0" collapsed="false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5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customFormat="false" ht="15" hidden="false" customHeight="false" outlineLevel="0" collapsed="false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5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customFormat="false" ht="15" hidden="false" customHeight="false" outlineLevel="0" collapsed="false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5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customFormat="false" ht="15" hidden="false" customHeight="false" outlineLevel="0" collapsed="false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5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customFormat="false" ht="15" hidden="false" customHeight="false" outlineLevel="0" collapsed="false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5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customFormat="false" ht="15" hidden="false" customHeight="false" outlineLevel="0" collapsed="false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5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customFormat="false" ht="15" hidden="false" customHeight="false" outlineLevel="0" collapsed="false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5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customFormat="false" ht="15" hidden="false" customHeight="false" outlineLevel="0" collapsed="false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5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customFormat="false" ht="15" hidden="false" customHeight="false" outlineLevel="0" collapsed="false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5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customFormat="false" ht="15" hidden="false" customHeight="false" outlineLevel="0" collapsed="false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5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customFormat="false" ht="15" hidden="false" customHeight="false" outlineLevel="0" collapsed="false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5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customFormat="false" ht="15" hidden="false" customHeight="false" outlineLevel="0" collapsed="false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5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customFormat="false" ht="15" hidden="false" customHeight="false" outlineLevel="0" collapsed="false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5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customFormat="false" ht="15" hidden="false" customHeight="false" outlineLevel="0" collapsed="false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5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customFormat="false" ht="15" hidden="false" customHeight="false" outlineLevel="0" collapsed="false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5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customFormat="false" ht="15" hidden="false" customHeight="false" outlineLevel="0" collapsed="false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5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customFormat="false" ht="15" hidden="false" customHeight="false" outlineLevel="0" collapsed="false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5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customFormat="false" ht="15" hidden="false" customHeight="false" outlineLevel="0" collapsed="false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5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customFormat="false" ht="15" hidden="false" customHeight="false" outlineLevel="0" collapsed="false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5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customFormat="false" ht="15" hidden="false" customHeight="false" outlineLevel="0" collapsed="false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5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customFormat="false" ht="15" hidden="false" customHeight="false" outlineLevel="0" collapsed="false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5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customFormat="false" ht="15" hidden="false" customHeight="false" outlineLevel="0" collapsed="false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5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customFormat="false" ht="15" hidden="false" customHeight="false" outlineLevel="0" collapsed="false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5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customFormat="false" ht="15" hidden="false" customHeight="false" outlineLevel="0" collapsed="false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5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customFormat="false" ht="15" hidden="false" customHeight="false" outlineLevel="0" collapsed="false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5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customFormat="false" ht="15" hidden="false" customHeight="false" outlineLevel="0" collapsed="false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5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customFormat="false" ht="15" hidden="false" customHeight="false" outlineLevel="0" collapsed="false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5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customFormat="false" ht="15" hidden="false" customHeight="false" outlineLevel="0" collapsed="false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5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customFormat="false" ht="15" hidden="false" customHeight="false" outlineLevel="0" collapsed="false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5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customFormat="false" ht="15" hidden="false" customHeight="false" outlineLevel="0" collapsed="false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5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customFormat="false" ht="15" hidden="false" customHeight="false" outlineLevel="0" collapsed="false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5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customFormat="false" ht="15" hidden="false" customHeight="false" outlineLevel="0" collapsed="false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5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customFormat="false" ht="15" hidden="false" customHeight="false" outlineLevel="0" collapsed="false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5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customFormat="false" ht="15" hidden="false" customHeight="false" outlineLevel="0" collapsed="false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5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customFormat="false" ht="15" hidden="false" customHeight="false" outlineLevel="0" collapsed="false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5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customFormat="false" ht="15" hidden="false" customHeight="false" outlineLevel="0" collapsed="false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5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customFormat="false" ht="15" hidden="false" customHeight="false" outlineLevel="0" collapsed="false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5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customFormat="false" ht="15" hidden="false" customHeight="false" outlineLevel="0" collapsed="false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5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customFormat="false" ht="15" hidden="false" customHeight="false" outlineLevel="0" collapsed="false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5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customFormat="false" ht="15" hidden="false" customHeight="false" outlineLevel="0" collapsed="false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5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customFormat="false" ht="15" hidden="false" customHeight="false" outlineLevel="0" collapsed="false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5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customFormat="false" ht="15" hidden="false" customHeight="false" outlineLevel="0" collapsed="false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5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customFormat="false" ht="15" hidden="false" customHeight="false" outlineLevel="0" collapsed="false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5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customFormat="false" ht="15" hidden="false" customHeight="false" outlineLevel="0" collapsed="false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5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customFormat="false" ht="15" hidden="false" customHeight="false" outlineLevel="0" collapsed="false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5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customFormat="false" ht="15" hidden="false" customHeight="false" outlineLevel="0" collapsed="false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5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customFormat="false" ht="15" hidden="false" customHeight="false" outlineLevel="0" collapsed="false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5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customFormat="false" ht="15" hidden="false" customHeight="false" outlineLevel="0" collapsed="false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5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customFormat="false" ht="15" hidden="false" customHeight="false" outlineLevel="0" collapsed="false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5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customFormat="false" ht="15" hidden="false" customHeight="false" outlineLevel="0" collapsed="false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5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customFormat="false" ht="15" hidden="false" customHeight="false" outlineLevel="0" collapsed="false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5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customFormat="false" ht="15" hidden="false" customHeight="false" outlineLevel="0" collapsed="false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5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customFormat="false" ht="15" hidden="false" customHeight="false" outlineLevel="0" collapsed="false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5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customFormat="false" ht="15" hidden="false" customHeight="false" outlineLevel="0" collapsed="false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5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customFormat="false" ht="15" hidden="false" customHeight="false" outlineLevel="0" collapsed="false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5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customFormat="false" ht="15" hidden="false" customHeight="false" outlineLevel="0" collapsed="false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5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customFormat="false" ht="15" hidden="false" customHeight="false" outlineLevel="0" collapsed="false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5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customFormat="false" ht="15" hidden="false" customHeight="false" outlineLevel="0" collapsed="false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5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customFormat="false" ht="15" hidden="false" customHeight="false" outlineLevel="0" collapsed="false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5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customFormat="false" ht="15" hidden="false" customHeight="false" outlineLevel="0" collapsed="false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5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customFormat="false" ht="15" hidden="false" customHeight="false" outlineLevel="0" collapsed="false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5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customFormat="false" ht="15" hidden="false" customHeight="false" outlineLevel="0" collapsed="false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5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customFormat="false" ht="15" hidden="false" customHeight="false" outlineLevel="0" collapsed="false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5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customFormat="false" ht="15" hidden="false" customHeight="false" outlineLevel="0" collapsed="false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5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customFormat="false" ht="15" hidden="false" customHeight="false" outlineLevel="0" collapsed="false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5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customFormat="false" ht="15" hidden="false" customHeight="false" outlineLevel="0" collapsed="false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5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customFormat="false" ht="15" hidden="false" customHeight="false" outlineLevel="0" collapsed="false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5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customFormat="false" ht="15" hidden="false" customHeight="false" outlineLevel="0" collapsed="false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5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customFormat="false" ht="15" hidden="false" customHeight="false" outlineLevel="0" collapsed="false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5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customFormat="false" ht="15" hidden="false" customHeight="false" outlineLevel="0" collapsed="false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5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 customFormat="false" ht="15" hidden="false" customHeight="false" outlineLevel="0" collapsed="false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5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 customFormat="false" ht="15" hidden="false" customHeight="false" outlineLevel="0" collapsed="false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5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 customFormat="false" ht="15" hidden="false" customHeight="false" outlineLevel="0" collapsed="false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5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 customFormat="false" ht="15" hidden="false" customHeight="false" outlineLevel="0" collapsed="false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5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 customFormat="false" ht="15" hidden="false" customHeight="false" outlineLevel="0" collapsed="false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5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 customFormat="false" ht="15" hidden="false" customHeight="false" outlineLevel="0" collapsed="false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5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 customFormat="false" ht="15" hidden="false" customHeight="false" outlineLevel="0" collapsed="false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5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 customFormat="false" ht="15" hidden="false" customHeight="false" outlineLevel="0" collapsed="false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5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 customFormat="false" ht="15" hidden="false" customHeight="false" outlineLevel="0" collapsed="false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5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 customFormat="false" ht="15" hidden="false" customHeight="false" outlineLevel="0" collapsed="false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5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 customFormat="false" ht="15" hidden="false" customHeight="false" outlineLevel="0" collapsed="false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5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 customFormat="false" ht="15" hidden="false" customHeight="false" outlineLevel="0" collapsed="false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5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 customFormat="false" ht="15" hidden="false" customHeight="false" outlineLevel="0" collapsed="false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5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 customFormat="false" ht="15" hidden="false" customHeight="false" outlineLevel="0" collapsed="false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5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 customFormat="false" ht="15" hidden="false" customHeight="false" outlineLevel="0" collapsed="false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5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 customFormat="false" ht="15" hidden="false" customHeight="false" outlineLevel="0" collapsed="false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5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 customFormat="false" ht="15" hidden="false" customHeight="false" outlineLevel="0" collapsed="false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5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 customFormat="false" ht="15" hidden="false" customHeight="false" outlineLevel="0" collapsed="false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5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 customFormat="false" ht="15" hidden="false" customHeight="false" outlineLevel="0" collapsed="false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5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 customFormat="false" ht="15" hidden="false" customHeight="false" outlineLevel="0" collapsed="false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5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 customFormat="false" ht="15" hidden="false" customHeight="false" outlineLevel="0" collapsed="false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5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 customFormat="false" ht="15" hidden="false" customHeight="false" outlineLevel="0" collapsed="false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5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 customFormat="false" ht="15" hidden="false" customHeight="false" outlineLevel="0" collapsed="false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5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 customFormat="false" ht="15" hidden="false" customHeight="false" outlineLevel="0" collapsed="false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5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 customFormat="false" ht="15" hidden="false" customHeight="false" outlineLevel="0" collapsed="false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5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 customFormat="false" ht="15" hidden="false" customHeight="false" outlineLevel="0" collapsed="false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5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 customFormat="false" ht="15" hidden="false" customHeight="false" outlineLevel="0" collapsed="false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5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 customFormat="false" ht="15" hidden="false" customHeight="false" outlineLevel="0" collapsed="false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5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 customFormat="false" ht="15" hidden="false" customHeight="false" outlineLevel="0" collapsed="false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5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customFormat="false" ht="15" hidden="false" customHeight="false" outlineLevel="0" collapsed="false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5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customFormat="false" ht="15" hidden="false" customHeight="false" outlineLevel="0" collapsed="false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5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 customFormat="false" ht="15" hidden="false" customHeight="false" outlineLevel="0" collapsed="false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5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 customFormat="false" ht="15" hidden="false" customHeight="false" outlineLevel="0" collapsed="false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5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 customFormat="false" ht="15" hidden="false" customHeight="false" outlineLevel="0" collapsed="false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5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 customFormat="false" ht="15" hidden="false" customHeight="false" outlineLevel="0" collapsed="false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5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 customFormat="false" ht="15" hidden="false" customHeight="false" outlineLevel="0" collapsed="false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5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 customFormat="false" ht="15" hidden="false" customHeight="false" outlineLevel="0" collapsed="false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5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 customFormat="false" ht="15" hidden="false" customHeight="false" outlineLevel="0" collapsed="false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5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 customFormat="false" ht="15" hidden="false" customHeight="false" outlineLevel="0" collapsed="false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5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 customFormat="false" ht="15" hidden="false" customHeight="false" outlineLevel="0" collapsed="false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5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 customFormat="false" ht="15" hidden="false" customHeight="false" outlineLevel="0" collapsed="false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5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 customFormat="false" ht="15" hidden="false" customHeight="false" outlineLevel="0" collapsed="false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5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 customFormat="false" ht="15" hidden="false" customHeight="false" outlineLevel="0" collapsed="false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5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 customFormat="false" ht="15" hidden="false" customHeight="false" outlineLevel="0" collapsed="false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5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 customFormat="false" ht="15" hidden="false" customHeight="false" outlineLevel="0" collapsed="false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5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 customFormat="false" ht="15" hidden="false" customHeight="false" outlineLevel="0" collapsed="false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5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 customFormat="false" ht="15" hidden="false" customHeight="false" outlineLevel="0" collapsed="false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5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 customFormat="false" ht="15" hidden="false" customHeight="false" outlineLevel="0" collapsed="false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5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 customFormat="false" ht="15" hidden="false" customHeight="false" outlineLevel="0" collapsed="false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5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 customFormat="false" ht="15" hidden="false" customHeight="false" outlineLevel="0" collapsed="false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5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 customFormat="false" ht="15" hidden="false" customHeight="false" outlineLevel="0" collapsed="false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5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 customFormat="false" ht="15" hidden="false" customHeight="false" outlineLevel="0" collapsed="false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5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 customFormat="false" ht="15" hidden="false" customHeight="false" outlineLevel="0" collapsed="false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5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 customFormat="false" ht="15" hidden="false" customHeight="false" outlineLevel="0" collapsed="false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5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 customFormat="false" ht="15" hidden="false" customHeight="false" outlineLevel="0" collapsed="false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5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 customFormat="false" ht="15" hidden="false" customHeight="false" outlineLevel="0" collapsed="false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5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 customFormat="false" ht="15" hidden="false" customHeight="false" outlineLevel="0" collapsed="false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5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 customFormat="false" ht="15" hidden="false" customHeight="false" outlineLevel="0" collapsed="false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5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 customFormat="false" ht="15" hidden="false" customHeight="false" outlineLevel="0" collapsed="false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5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 customFormat="false" ht="15" hidden="false" customHeight="false" outlineLevel="0" collapsed="false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5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 customFormat="false" ht="15" hidden="false" customHeight="false" outlineLevel="0" collapsed="false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5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 customFormat="false" ht="15" hidden="false" customHeight="false" outlineLevel="0" collapsed="false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5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 customFormat="false" ht="15" hidden="false" customHeight="false" outlineLevel="0" collapsed="false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5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 customFormat="false" ht="15" hidden="false" customHeight="false" outlineLevel="0" collapsed="false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5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customFormat="false" ht="15" hidden="false" customHeight="false" outlineLevel="0" collapsed="false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5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customFormat="false" ht="15" hidden="false" customHeight="false" outlineLevel="0" collapsed="false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5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 customFormat="false" ht="15" hidden="false" customHeight="false" outlineLevel="0" collapsed="false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5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 customFormat="false" ht="15" hidden="false" customHeight="false" outlineLevel="0" collapsed="false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5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 customFormat="false" ht="15" hidden="false" customHeight="false" outlineLevel="0" collapsed="false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5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 customFormat="false" ht="15" hidden="false" customHeight="false" outlineLevel="0" collapsed="false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5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 customFormat="false" ht="15" hidden="false" customHeight="false" outlineLevel="0" collapsed="false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5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 customFormat="false" ht="15" hidden="false" customHeight="false" outlineLevel="0" collapsed="false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5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 customFormat="false" ht="15" hidden="false" customHeight="false" outlineLevel="0" collapsed="false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5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 customFormat="false" ht="15" hidden="false" customHeight="false" outlineLevel="0" collapsed="false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5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 customFormat="false" ht="15" hidden="false" customHeight="false" outlineLevel="0" collapsed="false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5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 customFormat="false" ht="15" hidden="false" customHeight="false" outlineLevel="0" collapsed="false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5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 customFormat="false" ht="15" hidden="false" customHeight="false" outlineLevel="0" collapsed="false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5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 customFormat="false" ht="15" hidden="false" customHeight="false" outlineLevel="0" collapsed="false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5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 customFormat="false" ht="15" hidden="false" customHeight="false" outlineLevel="0" collapsed="false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5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 customFormat="false" ht="15" hidden="false" customHeight="false" outlineLevel="0" collapsed="false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5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 customFormat="false" ht="15" hidden="false" customHeight="false" outlineLevel="0" collapsed="false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5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 customFormat="false" ht="15" hidden="false" customHeight="false" outlineLevel="0" collapsed="false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5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 customFormat="false" ht="15" hidden="false" customHeight="false" outlineLevel="0" collapsed="false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5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 customFormat="false" ht="15" hidden="false" customHeight="false" outlineLevel="0" collapsed="false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5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 customFormat="false" ht="15" hidden="false" customHeight="false" outlineLevel="0" collapsed="false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5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 customFormat="false" ht="15" hidden="false" customHeight="false" outlineLevel="0" collapsed="false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5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 customFormat="false" ht="15" hidden="false" customHeight="false" outlineLevel="0" collapsed="false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5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 customFormat="false" ht="15" hidden="false" customHeight="false" outlineLevel="0" collapsed="false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5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 customFormat="false" ht="15" hidden="false" customHeight="false" outlineLevel="0" collapsed="false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5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 customFormat="false" ht="15" hidden="false" customHeight="false" outlineLevel="0" collapsed="false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5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 customFormat="false" ht="15" hidden="false" customHeight="false" outlineLevel="0" collapsed="false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5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 customFormat="false" ht="15" hidden="false" customHeight="false" outlineLevel="0" collapsed="false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5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 customFormat="false" ht="15" hidden="false" customHeight="false" outlineLevel="0" collapsed="false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5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 customFormat="false" ht="15" hidden="false" customHeight="false" outlineLevel="0" collapsed="false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5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 customFormat="false" ht="15" hidden="false" customHeight="false" outlineLevel="0" collapsed="false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5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 customFormat="false" ht="15" hidden="false" customHeight="false" outlineLevel="0" collapsed="false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5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customFormat="false" ht="15" hidden="false" customHeight="false" outlineLevel="0" collapsed="false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5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 customFormat="false" ht="15" hidden="false" customHeight="false" outlineLevel="0" collapsed="false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5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 customFormat="false" ht="15" hidden="false" customHeight="false" outlineLevel="0" collapsed="false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5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customFormat="false" ht="15" hidden="false" customHeight="false" outlineLevel="0" collapsed="false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5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customFormat="false" ht="15" hidden="false" customHeight="false" outlineLevel="0" collapsed="false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5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 customFormat="false" ht="15" hidden="false" customHeight="false" outlineLevel="0" collapsed="false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5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 customFormat="false" ht="15" hidden="false" customHeight="false" outlineLevel="0" collapsed="false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5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 customFormat="false" ht="15" hidden="false" customHeight="false" outlineLevel="0" collapsed="false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5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 customFormat="false" ht="15" hidden="false" customHeight="false" outlineLevel="0" collapsed="false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5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 customFormat="false" ht="15" hidden="false" customHeight="false" outlineLevel="0" collapsed="false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5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 customFormat="false" ht="15" hidden="false" customHeight="false" outlineLevel="0" collapsed="false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5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 customFormat="false" ht="15" hidden="false" customHeight="false" outlineLevel="0" collapsed="false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5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 customFormat="false" ht="15" hidden="false" customHeight="false" outlineLevel="0" collapsed="false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5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 customFormat="false" ht="15" hidden="false" customHeight="false" outlineLevel="0" collapsed="false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5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 customFormat="false" ht="15" hidden="false" customHeight="false" outlineLevel="0" collapsed="false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5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 customFormat="false" ht="15" hidden="false" customHeight="false" outlineLevel="0" collapsed="false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5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 customFormat="false" ht="15" hidden="false" customHeight="false" outlineLevel="0" collapsed="false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5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 customFormat="false" ht="15" hidden="false" customHeight="false" outlineLevel="0" collapsed="false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5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 customFormat="false" ht="15" hidden="false" customHeight="false" outlineLevel="0" collapsed="false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5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 customFormat="false" ht="15" hidden="false" customHeight="false" outlineLevel="0" collapsed="false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5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 customFormat="false" ht="15" hidden="false" customHeight="false" outlineLevel="0" collapsed="false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5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 customFormat="false" ht="15" hidden="false" customHeight="false" outlineLevel="0" collapsed="false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5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 customFormat="false" ht="15" hidden="false" customHeight="false" outlineLevel="0" collapsed="false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5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 customFormat="false" ht="15" hidden="false" customHeight="false" outlineLevel="0" collapsed="false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5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 customFormat="false" ht="15" hidden="false" customHeight="false" outlineLevel="0" collapsed="false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5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 customFormat="false" ht="15" hidden="false" customHeight="false" outlineLevel="0" collapsed="false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5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 customFormat="false" ht="15" hidden="false" customHeight="false" outlineLevel="0" collapsed="false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5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 customFormat="false" ht="15" hidden="false" customHeight="false" outlineLevel="0" collapsed="false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5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 customFormat="false" ht="15" hidden="false" customHeight="false" outlineLevel="0" collapsed="false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5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 customFormat="false" ht="15" hidden="false" customHeight="false" outlineLevel="0" collapsed="false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5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 customFormat="false" ht="15" hidden="false" customHeight="false" outlineLevel="0" collapsed="false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5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 customFormat="false" ht="15" hidden="false" customHeight="false" outlineLevel="0" collapsed="false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5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customFormat="false" ht="15" hidden="false" customHeight="false" outlineLevel="0" collapsed="false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5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 customFormat="false" ht="15" hidden="false" customHeight="false" outlineLevel="0" collapsed="false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5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 customFormat="false" ht="15" hidden="false" customHeight="false" outlineLevel="0" collapsed="false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5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 customFormat="false" ht="15" hidden="false" customHeight="false" outlineLevel="0" collapsed="false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5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customFormat="false" ht="15" hidden="false" customHeight="false" outlineLevel="0" collapsed="false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5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 customFormat="false" ht="15" hidden="false" customHeight="false" outlineLevel="0" collapsed="false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5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customFormat="false" ht="15" hidden="false" customHeight="false" outlineLevel="0" collapsed="false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5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customFormat="false" ht="15" hidden="false" customHeight="false" outlineLevel="0" collapsed="false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5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 customFormat="false" ht="15" hidden="false" customHeight="false" outlineLevel="0" collapsed="false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5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 customFormat="false" ht="15" hidden="false" customHeight="false" outlineLevel="0" collapsed="false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5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 customFormat="false" ht="15" hidden="false" customHeight="false" outlineLevel="0" collapsed="false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5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 customFormat="false" ht="15" hidden="false" customHeight="false" outlineLevel="0" collapsed="false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5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 customFormat="false" ht="15" hidden="false" customHeight="false" outlineLevel="0" collapsed="false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5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 customFormat="false" ht="15" hidden="false" customHeight="false" outlineLevel="0" collapsed="false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5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 customFormat="false" ht="15" hidden="false" customHeight="false" outlineLevel="0" collapsed="false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5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 customFormat="false" ht="15" hidden="false" customHeight="false" outlineLevel="0" collapsed="false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5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 customFormat="false" ht="15" hidden="false" customHeight="false" outlineLevel="0" collapsed="false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5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 customFormat="false" ht="15" hidden="false" customHeight="false" outlineLevel="0" collapsed="false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5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 customFormat="false" ht="15" hidden="false" customHeight="false" outlineLevel="0" collapsed="false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5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 customFormat="false" ht="15" hidden="false" customHeight="false" outlineLevel="0" collapsed="false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5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 customFormat="false" ht="15" hidden="false" customHeight="false" outlineLevel="0" collapsed="false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5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 customFormat="false" ht="15" hidden="false" customHeight="false" outlineLevel="0" collapsed="false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5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 customFormat="false" ht="15" hidden="false" customHeight="false" outlineLevel="0" collapsed="false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5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 customFormat="false" ht="15" hidden="false" customHeight="false" outlineLevel="0" collapsed="false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5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 customFormat="false" ht="15" hidden="false" customHeight="false" outlineLevel="0" collapsed="false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5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 customFormat="false" ht="15" hidden="false" customHeight="false" outlineLevel="0" collapsed="false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5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 customFormat="false" ht="15" hidden="false" customHeight="false" outlineLevel="0" collapsed="false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5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 customFormat="false" ht="15" hidden="false" customHeight="false" outlineLevel="0" collapsed="false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5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 customFormat="false" ht="15" hidden="false" customHeight="false" outlineLevel="0" collapsed="false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5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 customFormat="false" ht="15" hidden="false" customHeight="false" outlineLevel="0" collapsed="false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5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 customFormat="false" ht="15" hidden="false" customHeight="false" outlineLevel="0" collapsed="false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5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 customFormat="false" ht="15" hidden="false" customHeight="false" outlineLevel="0" collapsed="false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5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 customFormat="false" ht="15" hidden="false" customHeight="false" outlineLevel="0" collapsed="false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5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 customFormat="false" ht="15" hidden="false" customHeight="false" outlineLevel="0" collapsed="false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5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 customFormat="false" ht="15" hidden="false" customHeight="false" outlineLevel="0" collapsed="false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5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 customFormat="false" ht="15" hidden="false" customHeight="false" outlineLevel="0" collapsed="false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5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 customFormat="false" ht="15" hidden="false" customHeight="false" outlineLevel="0" collapsed="false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5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 customFormat="false" ht="15" hidden="false" customHeight="false" outlineLevel="0" collapsed="false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5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 customFormat="false" ht="15" hidden="false" customHeight="false" outlineLevel="0" collapsed="false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5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 customFormat="false" ht="15" hidden="false" customHeight="false" outlineLevel="0" collapsed="false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5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customFormat="false" ht="15" hidden="false" customHeight="false" outlineLevel="0" collapsed="false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5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customFormat="false" ht="15" hidden="false" customHeight="false" outlineLevel="0" collapsed="false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5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 customFormat="false" ht="15" hidden="false" customHeight="false" outlineLevel="0" collapsed="false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5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 customFormat="false" ht="15" hidden="false" customHeight="false" outlineLevel="0" collapsed="false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5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 customFormat="false" ht="15" hidden="false" customHeight="false" outlineLevel="0" collapsed="false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5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 customFormat="false" ht="15" hidden="false" customHeight="false" outlineLevel="0" collapsed="false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5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 customFormat="false" ht="15" hidden="false" customHeight="false" outlineLevel="0" collapsed="false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5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 customFormat="false" ht="15" hidden="false" customHeight="false" outlineLevel="0" collapsed="false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5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 customFormat="false" ht="15" hidden="false" customHeight="false" outlineLevel="0" collapsed="false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5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 customFormat="false" ht="15" hidden="false" customHeight="false" outlineLevel="0" collapsed="false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5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 customFormat="false" ht="15" hidden="false" customHeight="false" outlineLevel="0" collapsed="false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5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 customFormat="false" ht="15" hidden="false" customHeight="false" outlineLevel="0" collapsed="false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5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 customFormat="false" ht="15" hidden="false" customHeight="false" outlineLevel="0" collapsed="false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5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 customFormat="false" ht="15" hidden="false" customHeight="false" outlineLevel="0" collapsed="false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5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 customFormat="false" ht="15" hidden="false" customHeight="false" outlineLevel="0" collapsed="false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5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 customFormat="false" ht="15" hidden="false" customHeight="false" outlineLevel="0" collapsed="false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5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 customFormat="false" ht="15" hidden="false" customHeight="false" outlineLevel="0" collapsed="false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5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 customFormat="false" ht="15" hidden="false" customHeight="false" outlineLevel="0" collapsed="false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5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 customFormat="false" ht="15" hidden="false" customHeight="false" outlineLevel="0" collapsed="false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5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 customFormat="false" ht="15" hidden="false" customHeight="false" outlineLevel="0" collapsed="false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5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 customFormat="false" ht="15" hidden="false" customHeight="false" outlineLevel="0" collapsed="false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5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 customFormat="false" ht="15" hidden="false" customHeight="false" outlineLevel="0" collapsed="false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5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 customFormat="false" ht="15" hidden="false" customHeight="false" outlineLevel="0" collapsed="false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5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 customFormat="false" ht="15" hidden="false" customHeight="false" outlineLevel="0" collapsed="false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5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 customFormat="false" ht="15" hidden="false" customHeight="false" outlineLevel="0" collapsed="false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5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 customFormat="false" ht="15" hidden="false" customHeight="false" outlineLevel="0" collapsed="false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5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 customFormat="false" ht="15" hidden="false" customHeight="false" outlineLevel="0" collapsed="false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5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 customFormat="false" ht="15" hidden="false" customHeight="false" outlineLevel="0" collapsed="false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5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 customFormat="false" ht="15" hidden="false" customHeight="false" outlineLevel="0" collapsed="false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5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 customFormat="false" ht="15" hidden="false" customHeight="false" outlineLevel="0" collapsed="false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5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 customFormat="false" ht="15" hidden="false" customHeight="false" outlineLevel="0" collapsed="false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5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 customFormat="false" ht="15" hidden="false" customHeight="false" outlineLevel="0" collapsed="false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5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 customFormat="false" ht="15" hidden="false" customHeight="false" outlineLevel="0" collapsed="false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5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 customFormat="false" ht="15" hidden="false" customHeight="false" outlineLevel="0" collapsed="false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5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customFormat="false" ht="15" hidden="false" customHeight="false" outlineLevel="0" collapsed="false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5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customFormat="false" ht="15" hidden="false" customHeight="false" outlineLevel="0" collapsed="false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5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 customFormat="false" ht="15" hidden="false" customHeight="false" outlineLevel="0" collapsed="false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5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 customFormat="false" ht="15" hidden="false" customHeight="false" outlineLevel="0" collapsed="false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5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 customFormat="false" ht="15" hidden="false" customHeight="false" outlineLevel="0" collapsed="false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5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 customFormat="false" ht="15" hidden="false" customHeight="false" outlineLevel="0" collapsed="false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5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 customFormat="false" ht="15" hidden="false" customHeight="false" outlineLevel="0" collapsed="false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5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 customFormat="false" ht="15" hidden="false" customHeight="false" outlineLevel="0" collapsed="false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5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 customFormat="false" ht="15" hidden="false" customHeight="false" outlineLevel="0" collapsed="false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5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 customFormat="false" ht="15" hidden="false" customHeight="false" outlineLevel="0" collapsed="false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5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 customFormat="false" ht="15" hidden="false" customHeight="false" outlineLevel="0" collapsed="false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5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 customFormat="false" ht="15" hidden="false" customHeight="false" outlineLevel="0" collapsed="false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5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 customFormat="false" ht="15" hidden="false" customHeight="false" outlineLevel="0" collapsed="false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5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 customFormat="false" ht="15" hidden="false" customHeight="false" outlineLevel="0" collapsed="false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5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 customFormat="false" ht="15" hidden="false" customHeight="false" outlineLevel="0" collapsed="false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5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 customFormat="false" ht="15" hidden="false" customHeight="false" outlineLevel="0" collapsed="false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5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 customFormat="false" ht="15" hidden="false" customHeight="false" outlineLevel="0" collapsed="false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5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 customFormat="false" ht="15" hidden="false" customHeight="false" outlineLevel="0" collapsed="false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5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 customFormat="false" ht="15" hidden="false" customHeight="false" outlineLevel="0" collapsed="false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5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 customFormat="false" ht="15" hidden="false" customHeight="false" outlineLevel="0" collapsed="false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5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 customFormat="false" ht="15" hidden="false" customHeight="false" outlineLevel="0" collapsed="false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5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 customFormat="false" ht="15" hidden="false" customHeight="false" outlineLevel="0" collapsed="false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5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 customFormat="false" ht="15" hidden="false" customHeight="false" outlineLevel="0" collapsed="false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5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 customFormat="false" ht="15" hidden="false" customHeight="false" outlineLevel="0" collapsed="false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5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 customFormat="false" ht="15" hidden="false" customHeight="false" outlineLevel="0" collapsed="false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5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 customFormat="false" ht="15" hidden="false" customHeight="false" outlineLevel="0" collapsed="false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5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 customFormat="false" ht="15" hidden="false" customHeight="false" outlineLevel="0" collapsed="false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5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 customFormat="false" ht="15" hidden="false" customHeight="false" outlineLevel="0" collapsed="false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5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 customFormat="false" ht="15" hidden="false" customHeight="false" outlineLevel="0" collapsed="false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5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 customFormat="false" ht="15" hidden="false" customHeight="false" outlineLevel="0" collapsed="false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5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 customFormat="false" ht="15" hidden="false" customHeight="false" outlineLevel="0" collapsed="false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5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 customFormat="false" ht="15" hidden="false" customHeight="false" outlineLevel="0" collapsed="false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5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 customFormat="false" ht="15" hidden="false" customHeight="false" outlineLevel="0" collapsed="false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5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 customFormat="false" ht="15" hidden="false" customHeight="false" outlineLevel="0" collapsed="false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5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 customFormat="false" ht="15" hidden="false" customHeight="false" outlineLevel="0" collapsed="false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5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customFormat="false" ht="15" hidden="false" customHeight="false" outlineLevel="0" collapsed="false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5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customFormat="false" ht="15" hidden="false" customHeight="false" outlineLevel="0" collapsed="false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5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 customFormat="false" ht="15" hidden="false" customHeight="false" outlineLevel="0" collapsed="false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5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 customFormat="false" ht="15" hidden="false" customHeight="false" outlineLevel="0" collapsed="false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5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 customFormat="false" ht="15" hidden="false" customHeight="false" outlineLevel="0" collapsed="false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5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 customFormat="false" ht="15" hidden="false" customHeight="false" outlineLevel="0" collapsed="false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5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 customFormat="false" ht="15" hidden="false" customHeight="false" outlineLevel="0" collapsed="false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5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 customFormat="false" ht="15" hidden="false" customHeight="false" outlineLevel="0" collapsed="false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5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 customFormat="false" ht="15" hidden="false" customHeight="false" outlineLevel="0" collapsed="false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5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 customFormat="false" ht="15" hidden="false" customHeight="false" outlineLevel="0" collapsed="false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5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 customFormat="false" ht="15" hidden="false" customHeight="false" outlineLevel="0" collapsed="false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5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 customFormat="false" ht="15" hidden="false" customHeight="false" outlineLevel="0" collapsed="false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5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 customFormat="false" ht="15" hidden="false" customHeight="false" outlineLevel="0" collapsed="false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5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 customFormat="false" ht="15" hidden="false" customHeight="false" outlineLevel="0" collapsed="false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5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 customFormat="false" ht="15" hidden="false" customHeight="false" outlineLevel="0" collapsed="false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5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 customFormat="false" ht="15" hidden="false" customHeight="false" outlineLevel="0" collapsed="false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5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 customFormat="false" ht="15" hidden="false" customHeight="false" outlineLevel="0" collapsed="false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5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 customFormat="false" ht="15" hidden="false" customHeight="false" outlineLevel="0" collapsed="false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5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 customFormat="false" ht="15" hidden="false" customHeight="false" outlineLevel="0" collapsed="false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5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 customFormat="false" ht="15" hidden="false" customHeight="false" outlineLevel="0" collapsed="false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5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 customFormat="false" ht="15" hidden="false" customHeight="false" outlineLevel="0" collapsed="false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5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 customFormat="false" ht="15" hidden="false" customHeight="false" outlineLevel="0" collapsed="false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5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 customFormat="false" ht="15" hidden="false" customHeight="false" outlineLevel="0" collapsed="false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5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 customFormat="false" ht="15" hidden="false" customHeight="false" outlineLevel="0" collapsed="false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5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 customFormat="false" ht="15" hidden="false" customHeight="false" outlineLevel="0" collapsed="false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5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 customFormat="false" ht="15" hidden="false" customHeight="false" outlineLevel="0" collapsed="false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5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 customFormat="false" ht="15" hidden="false" customHeight="false" outlineLevel="0" collapsed="false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5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 customFormat="false" ht="15" hidden="false" customHeight="false" outlineLevel="0" collapsed="false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5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 customFormat="false" ht="15" hidden="false" customHeight="false" outlineLevel="0" collapsed="false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5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 customFormat="false" ht="15" hidden="false" customHeight="false" outlineLevel="0" collapsed="false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5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 customFormat="false" ht="15" hidden="false" customHeight="false" outlineLevel="0" collapsed="false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5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 customFormat="false" ht="15" hidden="false" customHeight="false" outlineLevel="0" collapsed="false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5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 customFormat="false" ht="15" hidden="false" customHeight="false" outlineLevel="0" collapsed="false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5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 customFormat="false" ht="15" hidden="false" customHeight="false" outlineLevel="0" collapsed="false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5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 customFormat="false" ht="15" hidden="false" customHeight="false" outlineLevel="0" collapsed="false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5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customFormat="false" ht="15" hidden="false" customHeight="false" outlineLevel="0" collapsed="false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5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customFormat="false" ht="15" hidden="false" customHeight="false" outlineLevel="0" collapsed="false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5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 customFormat="false" ht="15" hidden="false" customHeight="false" outlineLevel="0" collapsed="false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5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 customFormat="false" ht="15" hidden="false" customHeight="false" outlineLevel="0" collapsed="false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5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 customFormat="false" ht="15" hidden="false" customHeight="false" outlineLevel="0" collapsed="false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5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 customFormat="false" ht="15" hidden="false" customHeight="false" outlineLevel="0" collapsed="false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5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 customFormat="false" ht="15" hidden="false" customHeight="false" outlineLevel="0" collapsed="false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5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 customFormat="false" ht="15" hidden="false" customHeight="false" outlineLevel="0" collapsed="false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5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 customFormat="false" ht="15" hidden="false" customHeight="false" outlineLevel="0" collapsed="false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5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 customFormat="false" ht="15" hidden="false" customHeight="false" outlineLevel="0" collapsed="false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5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 customFormat="false" ht="15" hidden="false" customHeight="false" outlineLevel="0" collapsed="false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5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 customFormat="false" ht="15" hidden="false" customHeight="false" outlineLevel="0" collapsed="false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5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 customFormat="false" ht="15" hidden="false" customHeight="false" outlineLevel="0" collapsed="false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5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 customFormat="false" ht="15" hidden="false" customHeight="false" outlineLevel="0" collapsed="false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5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 customFormat="false" ht="15" hidden="false" customHeight="false" outlineLevel="0" collapsed="false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5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 customFormat="false" ht="15" hidden="false" customHeight="false" outlineLevel="0" collapsed="false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5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 customFormat="false" ht="15" hidden="false" customHeight="false" outlineLevel="0" collapsed="false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5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 customFormat="false" ht="15" hidden="false" customHeight="false" outlineLevel="0" collapsed="false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5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 customFormat="false" ht="15" hidden="false" customHeight="false" outlineLevel="0" collapsed="false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5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 customFormat="false" ht="15" hidden="false" customHeight="false" outlineLevel="0" collapsed="false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5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 customFormat="false" ht="15" hidden="false" customHeight="false" outlineLevel="0" collapsed="false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5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 customFormat="false" ht="15" hidden="false" customHeight="false" outlineLevel="0" collapsed="false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5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 customFormat="false" ht="15" hidden="false" customHeight="false" outlineLevel="0" collapsed="false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5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 customFormat="false" ht="15" hidden="false" customHeight="false" outlineLevel="0" collapsed="false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5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 customFormat="false" ht="15" hidden="false" customHeight="false" outlineLevel="0" collapsed="false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5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 customFormat="false" ht="15" hidden="false" customHeight="false" outlineLevel="0" collapsed="false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5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 customFormat="false" ht="15" hidden="false" customHeight="false" outlineLevel="0" collapsed="false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5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 customFormat="false" ht="15" hidden="false" customHeight="false" outlineLevel="0" collapsed="false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5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 customFormat="false" ht="15" hidden="false" customHeight="false" outlineLevel="0" collapsed="false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5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 customFormat="false" ht="15" hidden="false" customHeight="false" outlineLevel="0" collapsed="false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5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 customFormat="false" ht="15" hidden="false" customHeight="false" outlineLevel="0" collapsed="false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5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 customFormat="false" ht="15" hidden="false" customHeight="false" outlineLevel="0" collapsed="false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5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 customFormat="false" ht="15" hidden="false" customHeight="false" outlineLevel="0" collapsed="false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5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 customFormat="false" ht="15" hidden="false" customHeight="false" outlineLevel="0" collapsed="false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5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 customFormat="false" ht="15" hidden="false" customHeight="false" outlineLevel="0" collapsed="false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5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customFormat="false" ht="15" hidden="false" customHeight="false" outlineLevel="0" collapsed="false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5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customFormat="false" ht="15" hidden="false" customHeight="false" outlineLevel="0" collapsed="false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5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 customFormat="false" ht="15" hidden="false" customHeight="false" outlineLevel="0" collapsed="false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5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 customFormat="false" ht="15" hidden="false" customHeight="false" outlineLevel="0" collapsed="false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5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 customFormat="false" ht="15" hidden="false" customHeight="false" outlineLevel="0" collapsed="false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5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 customFormat="false" ht="15" hidden="false" customHeight="false" outlineLevel="0" collapsed="false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5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 customFormat="false" ht="15" hidden="false" customHeight="false" outlineLevel="0" collapsed="false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5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 customFormat="false" ht="15" hidden="false" customHeight="false" outlineLevel="0" collapsed="false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5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 customFormat="false" ht="15" hidden="false" customHeight="false" outlineLevel="0" collapsed="false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5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 customFormat="false" ht="15" hidden="false" customHeight="false" outlineLevel="0" collapsed="false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5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 customFormat="false" ht="15" hidden="false" customHeight="false" outlineLevel="0" collapsed="false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5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 customFormat="false" ht="15" hidden="false" customHeight="false" outlineLevel="0" collapsed="false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5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 customFormat="false" ht="15" hidden="false" customHeight="false" outlineLevel="0" collapsed="false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5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 customFormat="false" ht="15" hidden="false" customHeight="false" outlineLevel="0" collapsed="false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5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 customFormat="false" ht="15" hidden="false" customHeight="false" outlineLevel="0" collapsed="false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5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 customFormat="false" ht="15" hidden="false" customHeight="false" outlineLevel="0" collapsed="false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5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 customFormat="false" ht="15" hidden="false" customHeight="false" outlineLevel="0" collapsed="false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5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 customFormat="false" ht="15" hidden="false" customHeight="false" outlineLevel="0" collapsed="false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5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 customFormat="false" ht="15" hidden="false" customHeight="false" outlineLevel="0" collapsed="false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5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 customFormat="false" ht="15" hidden="false" customHeight="false" outlineLevel="0" collapsed="false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5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 customFormat="false" ht="15" hidden="false" customHeight="false" outlineLevel="0" collapsed="false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5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 customFormat="false" ht="15" hidden="false" customHeight="false" outlineLevel="0" collapsed="false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5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 customFormat="false" ht="15" hidden="false" customHeight="false" outlineLevel="0" collapsed="false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5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 customFormat="false" ht="15" hidden="false" customHeight="false" outlineLevel="0" collapsed="false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5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 customFormat="false" ht="15" hidden="false" customHeight="false" outlineLevel="0" collapsed="false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5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 customFormat="false" ht="15" hidden="false" customHeight="false" outlineLevel="0" collapsed="false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5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 customFormat="false" ht="15" hidden="false" customHeight="false" outlineLevel="0" collapsed="false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5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 customFormat="false" ht="15" hidden="false" customHeight="false" outlineLevel="0" collapsed="false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5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 customFormat="false" ht="15" hidden="false" customHeight="false" outlineLevel="0" collapsed="false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5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 customFormat="false" ht="15" hidden="false" customHeight="false" outlineLevel="0" collapsed="false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5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 customFormat="false" ht="15" hidden="false" customHeight="false" outlineLevel="0" collapsed="false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5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 customFormat="false" ht="15" hidden="false" customHeight="false" outlineLevel="0" collapsed="false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5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 customFormat="false" ht="15" hidden="false" customHeight="false" outlineLevel="0" collapsed="false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5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 customFormat="false" ht="15" hidden="false" customHeight="false" outlineLevel="0" collapsed="false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5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 customFormat="false" ht="15" hidden="false" customHeight="false" outlineLevel="0" collapsed="false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5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 customFormat="false" ht="15" hidden="false" customHeight="false" outlineLevel="0" collapsed="false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5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 customFormat="false" ht="15" hidden="false" customHeight="false" outlineLevel="0" collapsed="false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5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 customFormat="false" ht="15" hidden="false" customHeight="false" outlineLevel="0" collapsed="false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5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 customFormat="false" ht="15" hidden="false" customHeight="false" outlineLevel="0" collapsed="false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5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 customFormat="false" ht="15" hidden="false" customHeight="false" outlineLevel="0" collapsed="false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5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 customFormat="false" ht="15" hidden="false" customHeight="false" outlineLevel="0" collapsed="false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5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 customFormat="false" ht="15" hidden="false" customHeight="false" outlineLevel="0" collapsed="false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5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 customFormat="false" ht="15" hidden="false" customHeight="false" outlineLevel="0" collapsed="false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5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 customFormat="false" ht="15" hidden="false" customHeight="false" outlineLevel="0" collapsed="false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5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 customFormat="false" ht="15" hidden="false" customHeight="false" outlineLevel="0" collapsed="false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5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 customFormat="false" ht="15" hidden="false" customHeight="false" outlineLevel="0" collapsed="false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5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 customFormat="false" ht="15" hidden="false" customHeight="false" outlineLevel="0" collapsed="false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5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 customFormat="false" ht="15" hidden="false" customHeight="false" outlineLevel="0" collapsed="false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5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 customFormat="false" ht="15" hidden="false" customHeight="false" outlineLevel="0" collapsed="false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5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 customFormat="false" ht="15" hidden="false" customHeight="false" outlineLevel="0" collapsed="false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5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 customFormat="false" ht="15" hidden="false" customHeight="false" outlineLevel="0" collapsed="false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5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 customFormat="false" ht="15" hidden="false" customHeight="false" outlineLevel="0" collapsed="false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5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 customFormat="false" ht="15" hidden="false" customHeight="false" outlineLevel="0" collapsed="false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5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 customFormat="false" ht="15" hidden="false" customHeight="false" outlineLevel="0" collapsed="false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5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 customFormat="false" ht="15" hidden="false" customHeight="false" outlineLevel="0" collapsed="false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5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 customFormat="false" ht="15" hidden="false" customHeight="false" outlineLevel="0" collapsed="false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5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 customFormat="false" ht="15" hidden="false" customHeight="false" outlineLevel="0" collapsed="false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5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 customFormat="false" ht="15" hidden="false" customHeight="false" outlineLevel="0" collapsed="false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5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 customFormat="false" ht="15" hidden="false" customHeight="false" outlineLevel="0" collapsed="false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5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 customFormat="false" ht="15" hidden="false" customHeight="false" outlineLevel="0" collapsed="false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5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 customFormat="false" ht="15" hidden="false" customHeight="false" outlineLevel="0" collapsed="false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5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 customFormat="false" ht="15" hidden="false" customHeight="false" outlineLevel="0" collapsed="false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5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 customFormat="false" ht="15" hidden="false" customHeight="false" outlineLevel="0" collapsed="false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5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 customFormat="false" ht="15" hidden="false" customHeight="false" outlineLevel="0" collapsed="false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5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 customFormat="false" ht="15" hidden="false" customHeight="false" outlineLevel="0" collapsed="false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5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 customFormat="false" ht="15" hidden="false" customHeight="false" outlineLevel="0" collapsed="false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5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 customFormat="false" ht="15" hidden="false" customHeight="false" outlineLevel="0" collapsed="false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5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 customFormat="false" ht="15" hidden="false" customHeight="false" outlineLevel="0" collapsed="false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5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 customFormat="false" ht="15" hidden="false" customHeight="false" outlineLevel="0" collapsed="false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5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 customFormat="false" ht="15" hidden="false" customHeight="false" outlineLevel="0" collapsed="false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5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 customFormat="false" ht="15" hidden="false" customHeight="false" outlineLevel="0" collapsed="false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5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 customFormat="false" ht="15" hidden="false" customHeight="false" outlineLevel="0" collapsed="false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5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 customFormat="false" ht="15" hidden="false" customHeight="false" outlineLevel="0" collapsed="false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5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 customFormat="false" ht="15" hidden="false" customHeight="false" outlineLevel="0" collapsed="false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5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 customFormat="false" ht="15" hidden="false" customHeight="false" outlineLevel="0" collapsed="false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5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 customFormat="false" ht="15" hidden="false" customHeight="false" outlineLevel="0" collapsed="false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5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 customFormat="false" ht="15" hidden="false" customHeight="false" outlineLevel="0" collapsed="false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5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 customFormat="false" ht="15" hidden="false" customHeight="false" outlineLevel="0" collapsed="false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5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 customFormat="false" ht="15" hidden="false" customHeight="false" outlineLevel="0" collapsed="false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5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 customFormat="false" ht="15" hidden="false" customHeight="false" outlineLevel="0" collapsed="false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5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 customFormat="false" ht="15" hidden="false" customHeight="false" outlineLevel="0" collapsed="false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5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 customFormat="false" ht="15" hidden="false" customHeight="false" outlineLevel="0" collapsed="false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5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 customFormat="false" ht="15" hidden="false" customHeight="false" outlineLevel="0" collapsed="false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5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 customFormat="false" ht="15" hidden="false" customHeight="false" outlineLevel="0" collapsed="false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5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 customFormat="false" ht="15" hidden="false" customHeight="false" outlineLevel="0" collapsed="false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5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 customFormat="false" ht="15" hidden="false" customHeight="false" outlineLevel="0" collapsed="false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5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 customFormat="false" ht="15" hidden="false" customHeight="false" outlineLevel="0" collapsed="false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5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 customFormat="false" ht="15" hidden="false" customHeight="false" outlineLevel="0" collapsed="false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5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 customFormat="false" ht="15" hidden="false" customHeight="false" outlineLevel="0" collapsed="false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5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 customFormat="false" ht="15" hidden="false" customHeight="false" outlineLevel="0" collapsed="false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5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 customFormat="false" ht="15" hidden="false" customHeight="false" outlineLevel="0" collapsed="false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5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 customFormat="false" ht="15" hidden="false" customHeight="false" outlineLevel="0" collapsed="false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5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 customFormat="false" ht="15" hidden="false" customHeight="false" outlineLevel="0" collapsed="false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5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 customFormat="false" ht="15" hidden="false" customHeight="false" outlineLevel="0" collapsed="false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5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 customFormat="false" ht="15" hidden="false" customHeight="false" outlineLevel="0" collapsed="false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5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 customFormat="false" ht="15" hidden="false" customHeight="false" outlineLevel="0" collapsed="false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5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 customFormat="false" ht="15" hidden="false" customHeight="false" outlineLevel="0" collapsed="false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5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 customFormat="false" ht="15" hidden="false" customHeight="false" outlineLevel="0" collapsed="false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5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 customFormat="false" ht="15" hidden="false" customHeight="false" outlineLevel="0" collapsed="false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5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 customFormat="false" ht="15" hidden="false" customHeight="false" outlineLevel="0" collapsed="false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5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 customFormat="false" ht="15" hidden="false" customHeight="false" outlineLevel="0" collapsed="false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5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 customFormat="false" ht="15" hidden="false" customHeight="false" outlineLevel="0" collapsed="false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5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 customFormat="false" ht="15" hidden="false" customHeight="false" outlineLevel="0" collapsed="false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5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 customFormat="false" ht="15" hidden="false" customHeight="false" outlineLevel="0" collapsed="false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5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 customFormat="false" ht="15" hidden="false" customHeight="false" outlineLevel="0" collapsed="false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5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 customFormat="false" ht="15" hidden="false" customHeight="false" outlineLevel="0" collapsed="false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5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 customFormat="false" ht="15" hidden="false" customHeight="false" outlineLevel="0" collapsed="false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5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 customFormat="false" ht="15" hidden="false" customHeight="false" outlineLevel="0" collapsed="false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5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 customFormat="false" ht="15" hidden="false" customHeight="false" outlineLevel="0" collapsed="false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5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 customFormat="false" ht="15" hidden="false" customHeight="false" outlineLevel="0" collapsed="false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5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 customFormat="false" ht="15" hidden="false" customHeight="false" outlineLevel="0" collapsed="false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5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 customFormat="false" ht="15" hidden="false" customHeight="false" outlineLevel="0" collapsed="false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5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 customFormat="false" ht="15" hidden="false" customHeight="false" outlineLevel="0" collapsed="false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5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 customFormat="false" ht="15" hidden="false" customHeight="false" outlineLevel="0" collapsed="false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5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 customFormat="false" ht="15" hidden="false" customHeight="false" outlineLevel="0" collapsed="false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5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 customFormat="false" ht="15" hidden="false" customHeight="false" outlineLevel="0" collapsed="false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5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 customFormat="false" ht="15" hidden="false" customHeight="false" outlineLevel="0" collapsed="false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5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 customFormat="false" ht="15" hidden="false" customHeight="false" outlineLevel="0" collapsed="false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5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 customFormat="false" ht="15" hidden="false" customHeight="false" outlineLevel="0" collapsed="false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5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 customFormat="false" ht="15" hidden="false" customHeight="false" outlineLevel="0" collapsed="false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5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 customFormat="false" ht="15" hidden="false" customHeight="false" outlineLevel="0" collapsed="false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5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 customFormat="false" ht="15" hidden="false" customHeight="false" outlineLevel="0" collapsed="false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5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 customFormat="false" ht="15" hidden="false" customHeight="false" outlineLevel="0" collapsed="false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5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 customFormat="false" ht="15" hidden="false" customHeight="false" outlineLevel="0" collapsed="false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5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 customFormat="false" ht="15" hidden="false" customHeight="false" outlineLevel="0" collapsed="false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5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 customFormat="false" ht="15" hidden="false" customHeight="false" outlineLevel="0" collapsed="false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5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 customFormat="false" ht="15" hidden="false" customHeight="false" outlineLevel="0" collapsed="false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5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 customFormat="false" ht="15" hidden="false" customHeight="false" outlineLevel="0" collapsed="false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5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 customFormat="false" ht="15" hidden="false" customHeight="false" outlineLevel="0" collapsed="false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5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</sheetData>
  <mergeCells count="6">
    <mergeCell ref="I3:I5"/>
    <mergeCell ref="L3:L5"/>
    <mergeCell ref="A11:A17"/>
    <mergeCell ref="B11:B17"/>
    <mergeCell ref="A18:A24"/>
    <mergeCell ref="B18:B24"/>
  </mergeCells>
  <dataValidations count="4">
    <dataValidation allowBlank="true" errorStyle="stop" operator="between" showDropDown="false" showErrorMessage="true" showInputMessage="false" sqref="K2:K49" type="list">
      <formula1>"Shared,FOO,Mambu,TBD"</formula1>
      <formula2>0</formula2>
    </dataValidation>
    <dataValidation allowBlank="true" errorStyle="stop" operator="between" showDropDown="false" showErrorMessage="true" showInputMessage="false" sqref="J2:J49" type="list">
      <formula1>"Stream 1 ,Stream 2,Stream L1,Stream L2,Stream X,Stream P,Stream M,Stream R"</formula1>
      <formula2>0</formula2>
    </dataValidation>
    <dataValidation allowBlank="true" errorStyle="stop" operator="between" showDropDown="false" showErrorMessage="true" showInputMessage="false" sqref="G2:G49" type="list">
      <formula1>"P1,P2"</formula1>
      <formula2>0</formula2>
    </dataValidation>
    <dataValidation allowBlank="true" errorStyle="stop" operator="between" showDropDown="false" showErrorMessage="true" showInputMessage="false" sqref="F2:F49" type="list">
      <formula1>"Yes,No,Partially,Need Verification"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2026-10-02T11:05:44Z</dcterms:created>
  <dc:creator>openpyxl</dc:creator>
  <dc:description/>
  <dc:language>en-US</dc:language>
  <cp:lastModifiedBy/>
  <dcterms:modified xsi:type="dcterms:W3CDTF">2026-10-04T22:03:25Z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