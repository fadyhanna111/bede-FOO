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Summary" sheetId="2" r:id="rId6"/>
    <sheet state="visible" name="Baselines" sheetId="3" r:id="rId7"/>
  </sheets>
  <definedNames>
    <definedName hidden="1" localSheetId="0" name="_xlnm._FilterDatabase">'Test Cases'!$A$4:$R$75</definedName>
  </definedNames>
  <calcPr/>
</workbook>
</file>

<file path=xl/sharedStrings.xml><?xml version="1.0" encoding="utf-8"?>
<sst xmlns="http://schemas.openxmlformats.org/spreadsheetml/2006/main" count="1039" uniqueCount="466">
  <si>
    <t>Execution summary</t>
  </si>
  <si>
    <t>Murabaha Contractual Profit Protection – Test Scenarios (FRD Section 6)</t>
  </si>
  <si>
    <t>Baselines: see "Baselines" sheet. Current Status = status recorded in FRD 6.17. Fill columns M–R during execution.</t>
  </si>
  <si>
    <t>TC ID</t>
  </si>
  <si>
    <t>FRD Ref</t>
  </si>
  <si>
    <t>Area</t>
  </si>
  <si>
    <t>Scenario</t>
  </si>
  <si>
    <t>Type</t>
  </si>
  <si>
    <t>Baseline</t>
  </si>
  <si>
    <t>Total</t>
  </si>
  <si>
    <t>Preconditions</t>
  </si>
  <si>
    <t>Pass</t>
  </si>
  <si>
    <t>Steps</t>
  </si>
  <si>
    <t>Test Data</t>
  </si>
  <si>
    <t>Fail</t>
  </si>
  <si>
    <t>Expected Result</t>
  </si>
  <si>
    <t>Blocked</t>
  </si>
  <si>
    <t>Current Status (FRD)</t>
  </si>
  <si>
    <t>Test baselines (FRD sections 5.2.1, 6)</t>
  </si>
  <si>
    <t>Priority</t>
  </si>
  <si>
    <t>Not Run</t>
  </si>
  <si>
    <t>Actual Result</t>
  </si>
  <si>
    <t>GAP in FRD</t>
  </si>
  <si>
    <t>Result</t>
  </si>
  <si>
    <t>Defect ID</t>
  </si>
  <si>
    <t>ID</t>
  </si>
  <si>
    <t>Tester</t>
  </si>
  <si>
    <t>6.3</t>
  </si>
  <si>
    <t>Description</t>
  </si>
  <si>
    <t>Date</t>
  </si>
  <si>
    <t>Product setup</t>
  </si>
  <si>
    <t>Comments</t>
  </si>
  <si>
    <t>Cost Price</t>
  </si>
  <si>
    <t>General servicing rule</t>
  </si>
  <si>
    <t>Profit</t>
  </si>
  <si>
    <t>TC-01</t>
  </si>
  <si>
    <t>Selling Price</t>
  </si>
  <si>
    <t>Installments</t>
  </si>
  <si>
    <t>Permitted schedule changes keep contractual totals</t>
  </si>
  <si>
    <t>Notes</t>
  </si>
  <si>
    <t>Positive</t>
  </si>
  <si>
    <t>B1</t>
  </si>
  <si>
    <t>Executed Murabaha, 3 installments paid</t>
  </si>
  <si>
    <t>1. Capture before/after: Cost Price, Contractual Profit, Selling Price, Profit Paid, Remaining Profit, Maturity Date, No. of installments.
2. Submit and approve a reschedule changing repayment date and extending by 2 installments.
3. Compare before/after.</t>
  </si>
  <si>
    <t>Reschedule from inst. 4; new date +15 days; extend +2</t>
  </si>
  <si>
    <t>Dates, maturity, no. of installments and installment amounts change; allocation of remaining Cost Price and Profit changes. Invariant holds: Profit Paid + Remaining Profit = Contractual Profit (1,500.000); Selling Price = 11,500.000; Cost Price = 10,000.000.</t>
  </si>
  <si>
    <t>To be tested</t>
  </si>
  <si>
    <t>High</t>
  </si>
  <si>
    <t>Fixed Profit Amount – Declining</t>
  </si>
  <si>
    <t>Islamic = Yes, Murabaha, Profit Input Type = Fixed Profit Amount, Profit Method = Declining, Lock Point = Disbursement</t>
  </si>
  <si>
    <t>10,000.000 BHD</t>
  </si>
  <si>
    <t>1,500.000</t>
  </si>
  <si>
    <t>11,500.000</t>
  </si>
  <si>
    <t>12 monthly × 958.333 (last 958.337)</t>
  </si>
  <si>
    <t>TC-02</t>
  </si>
  <si>
    <t>FRD case A. After 3 paid: Profit Paid 616.185, Remaining 883.815, outstanding Cost 7,741.186</t>
  </si>
  <si>
    <t>B2</t>
  </si>
  <si>
    <t>Charges outside Profit do not change Selling Price</t>
  </si>
  <si>
    <t>Fixed Profit Amount – Flat</t>
  </si>
  <si>
    <t>Same as B1 with Profit Method = Flat</t>
  </si>
  <si>
    <t>Executed Murabaha with an overdue installment</t>
  </si>
  <si>
    <t>1. Apply a late-payment charge.
2. Check outstanding obligation and Selling Price.</t>
  </si>
  <si>
    <t>Late charge BHD 10.000</t>
  </si>
  <si>
    <t>12 × (833.333 + 125.000), last 958.337</t>
  </si>
  <si>
    <t>Outstanding = outstanding Selling Price + 10.000 charge shown separately. Contractual Profit and Selling Price unchanged.</t>
  </si>
  <si>
    <t>Repeat key 6.6–6.8 cases</t>
  </si>
  <si>
    <t>B3</t>
  </si>
  <si>
    <t>Profit Rate (%) Murabaha</t>
  </si>
  <si>
    <t>Profit Input Type = Profit Rate; FRD validation loans</t>
  </si>
  <si>
    <t>As in FRD 6.6 / 6.7 tests</t>
  </si>
  <si>
    <t>TC-03</t>
  </si>
  <si>
    <t>6.4</t>
  </si>
  <si>
    <t>Passage of time &amp; accrual</t>
  </si>
  <si>
    <t>Accrual across due dates (account current)</t>
  </si>
  <si>
    <t>Executed, all installments paid on time</t>
  </si>
  <si>
    <t>USD 150.92 / USD 127.35</t>
  </si>
  <si>
    <t>1. Capture Contractual Profit.
2. Advance business date over 2 due dates, run accrual jobs.
3. Check cumulative accrued Profit.</t>
  </si>
  <si>
    <t>—</t>
  </si>
  <si>
    <t>Business date +60 days</t>
  </si>
  <si>
    <t>As in FRD tests</t>
  </si>
  <si>
    <t>Reproduces the GAP cases</t>
  </si>
  <si>
    <t>Cumulative accrued Profit = scheduled Profit of elapsed periods; never above 1,500.000. Selling Price unchanged.</t>
  </si>
  <si>
    <t>PASS</t>
  </si>
  <si>
    <t>B4</t>
  </si>
  <si>
    <t>Conventional loan</t>
  </si>
  <si>
    <t>Non-Islamic product, same terms as B3</t>
  </si>
  <si>
    <t>Same as B3</t>
  </si>
  <si>
    <t>Same</t>
  </si>
  <si>
    <t>Regression – behaviour must stay as today</t>
  </si>
  <si>
    <t>B5</t>
  </si>
  <si>
    <t>TC-04</t>
  </si>
  <si>
    <t>FRD 6.11 example</t>
  </si>
  <si>
    <t>Murabaha with Contractual Profit 150</t>
  </si>
  <si>
    <t>Accrual while significantly past due</t>
  </si>
  <si>
    <t>150</t>
  </si>
  <si>
    <t>Any</t>
  </si>
  <si>
    <t>Executed, no repayments</t>
  </si>
  <si>
    <t>30 Profit already paid</t>
  </si>
  <si>
    <t>1. Advance business date 90 days, run accrual jobs daily.
2. Check accrued Profit and total Profit.</t>
  </si>
  <si>
    <t>No payments for 90 days</t>
  </si>
  <si>
    <t>Accrued Profit follows the contractual schedule only; total Profit remains 1,500.000; no additional Profit for overdue days.</t>
  </si>
  <si>
    <t>Common check for every case: capture before/after Cost Price, Contractual Profit, Selling Price, Profit Paid, Remaining Profit, Maturity Date, No. of installments. Pass only if Profit Paid + Remaining Profit = Contractual Profit and conventional products are unchanged.</t>
  </si>
  <si>
    <t>TC-05</t>
  </si>
  <si>
    <t>No Profit after maturity</t>
  </si>
  <si>
    <t>Executed, last 2 installments unpaid</t>
  </si>
  <si>
    <t>1. Advance business date to maturity +30 days, then +90 days.
2. Run accrual jobs.
3. Check total and accrued Profit.</t>
  </si>
  <si>
    <t>Maturity +30 / +90 days</t>
  </si>
  <si>
    <t>No Profit accrues after maturity; cumulative accrued Profit ≤ 1,500.000; Selling Price unchanged.</t>
  </si>
  <si>
    <t>TC-06</t>
  </si>
  <si>
    <t>Accrual job re-run on the same date</t>
  </si>
  <si>
    <t>Negative</t>
  </si>
  <si>
    <t>Executed</t>
  </si>
  <si>
    <t>1. Run accrual job.
2. Re-run the same job for the same date.</t>
  </si>
  <si>
    <t>Same business date</t>
  </si>
  <si>
    <t>No duplicate accrual; accrued Profit identical after re-run.</t>
  </si>
  <si>
    <t>Medium</t>
  </si>
  <si>
    <t>TC-07</t>
  </si>
  <si>
    <t>Full-term accrual equals Contractual Profit</t>
  </si>
  <si>
    <t>Executed, all installments paid on time to maturity</t>
  </si>
  <si>
    <t>1. Run full lifecycle to closure.
2. Sum Profit recognized.</t>
  </si>
  <si>
    <t>12 monthly installments</t>
  </si>
  <si>
    <t>Total Profit recognized = 1,500.000 exactly.</t>
  </si>
  <si>
    <t>TC-08</t>
  </si>
  <si>
    <t>6.5</t>
  </si>
  <si>
    <t>Partial repayment</t>
  </si>
  <si>
    <t>Payment below installment due</t>
  </si>
  <si>
    <t>Executed, installment 1 due 958.333</t>
  </si>
  <si>
    <t>1. Capture before/after: Cost Price, Contractual Profit, Selling Price, Profit Paid, Remaining Profit, Maturity Date, No. of installments.
2. Post repayment of 500.000 on due date.
3. Check allocation and totals.</t>
  </si>
  <si>
    <t>Repayment 500.000</t>
  </si>
  <si>
    <t>Allocated per repayment strategy; no Profit recalculation; total Profit 1,500.000; remaining installment 1 balance 458.333.</t>
  </si>
  <si>
    <t>TC-09</t>
  </si>
  <si>
    <t>Several partial payments covering one installment</t>
  </si>
  <si>
    <t>1. Post 300.000, 300.000, 358.333 within the period.</t>
  </si>
  <si>
    <t>3 payments</t>
  </si>
  <si>
    <t>Installment 1 fully paid; total Profit 1,500.000; no recalculation.</t>
  </si>
  <si>
    <t>TC-10</t>
  </si>
  <si>
    <t>Prepayment above installment due</t>
  </si>
  <si>
    <t>Executed, installment 1 due</t>
  </si>
  <si>
    <t>1. Capture before/after: Cost Price, Contractual Profit, Selling Price, Profit Paid, Remaining Profit, Maturity Date, No. of installments.
2. Post 2,000.000 on installment 1 due date.
3. Check schedule.</t>
  </si>
  <si>
    <t>Repayment 2,000.000</t>
  </si>
  <si>
    <t>Installment 1 paid; excess 1,041.667 applied to future installments (or advance payment); Profit NOT recalculated on reduced balance; total Profit remains 1,500.000 (not reduced).</t>
  </si>
  <si>
    <t>TC-11</t>
  </si>
  <si>
    <t>Prepayment covering several future installments</t>
  </si>
  <si>
    <t>1. Post 3 × 958.333 on installment 1 due date.</t>
  </si>
  <si>
    <t>2,875.000</t>
  </si>
  <si>
    <t>Installments 1–3 paid; remaining schedule and Profit unchanged; total Profit 1,500.000.</t>
  </si>
  <si>
    <t>TC-12</t>
  </si>
  <si>
    <t>Partial repayment followed by delinquency</t>
  </si>
  <si>
    <t>1. Pay 500.000 on installment 1.
2. Advance 60 days without payment, run accruals.</t>
  </si>
  <si>
    <t>500.000 then 60 days overdue</t>
  </si>
  <si>
    <t>Total Profit 1,500.000; no additional Profit for overdue period.</t>
  </si>
  <si>
    <t>TC-13</t>
  </si>
  <si>
    <t>Profit recalculation cannot be enabled on Murabaha product</t>
  </si>
  <si>
    <t>Product</t>
  </si>
  <si>
    <t>Murabaha product, auto-disable = Yes and = No</t>
  </si>
  <si>
    <t>1. Try to tick "Recalculate Profit" (UI) and via API.</t>
  </si>
  <si>
    <t>Field disabled (auto-disable Yes) / save rejected by validation (auto-disable No).</t>
  </si>
  <si>
    <t>TC-14</t>
  </si>
  <si>
    <t>6.6</t>
  </si>
  <si>
    <t>Change repayment date</t>
  </si>
  <si>
    <t>Move next due date later (15 days)</t>
  </si>
  <si>
    <t>Executed, 3 installments paid</t>
  </si>
  <si>
    <t>1. Capture before/after: Cost Price, Contractual Profit, Selling Price, Profit Paid, Remaining Profit, Maturity Date, No. of installments.
2. Reschedule: change installment 4 due date +15 days.
3. Approve and compare.</t>
  </si>
  <si>
    <t>Inst. 4 date +15 days</t>
  </si>
  <si>
    <t>Dates move; Profit Paid 616.185 + Remaining 883.815 = 1,500.000; Selling Price 11,500.000.</t>
  </si>
  <si>
    <t>GAP</t>
  </si>
  <si>
    <t>TC-15</t>
  </si>
  <si>
    <t>Move due date later (60 days)</t>
  </si>
  <si>
    <t>1. Reschedule due date +60 days.
2. Compare.</t>
  </si>
  <si>
    <t>+60 days</t>
  </si>
  <si>
    <t>No additional Profit from elapsed time; invariant holds.</t>
  </si>
  <si>
    <t>TC-16</t>
  </si>
  <si>
    <t>Move due date earlier</t>
  </si>
  <si>
    <t>1. Reschedule next due date −10 days.
2. Compare.</t>
  </si>
  <si>
    <t>−10 days</t>
  </si>
  <si>
    <t>Contractual Profit not reduced; invariant holds.</t>
  </si>
  <si>
    <t>TC-17</t>
  </si>
  <si>
    <t>Reproduce FRD validation baseline (rate-based)</t>
  </si>
  <si>
    <t>Regression</t>
  </si>
  <si>
    <t>Rate-based Murabaha with total Profit USD 150.92</t>
  </si>
  <si>
    <t>1. Change repayment date to a later date (no extension, no rate change).
2. Check total Profit.</t>
  </si>
  <si>
    <t>Same data as FRD 6.6</t>
  </si>
  <si>
    <t>Total Profit stays USD 150.92 (previous defect: 276.29).</t>
  </si>
  <si>
    <t>TC-18</t>
  </si>
  <si>
    <t>Conventional loan unchanged</t>
  </si>
  <si>
    <t>Conventional loan, same terms</t>
  </si>
  <si>
    <t>1. Same date change as previous case.</t>
  </si>
  <si>
    <t>Same data</t>
  </si>
  <si>
    <t>Existing behaviour kept (interest recalculated, e.g. 276.29).</t>
  </si>
  <si>
    <t>TC-19</t>
  </si>
  <si>
    <t>6.7</t>
  </si>
  <si>
    <t>Mid-term grace</t>
  </si>
  <si>
    <t>Principal grace only</t>
  </si>
  <si>
    <t>1. Capture before/after: Cost Price, Contractual Profit, Selling Price, Profit Paid, Remaining Profit, Maturity Date, No. of installments.
2. Reschedule with 2 principal grace periods.
3. Compare.</t>
  </si>
  <si>
    <t>Principal grace 2</t>
  </si>
  <si>
    <t>Cost Price payment deferred; Profit 1,500.000; Selling Price unchanged.</t>
  </si>
  <si>
    <t>TC-20</t>
  </si>
  <si>
    <t>Profit grace only</t>
  </si>
  <si>
    <t>1. Reschedule with 1 profit grace period.</t>
  </si>
  <si>
    <t>Profit grace 1</t>
  </si>
  <si>
    <t>Profit of grace period deferred to later installments (not removed); total Profit 1,500.000.</t>
  </si>
  <si>
    <t>TC-21</t>
  </si>
  <si>
    <t>Combined grace – reproduce FRD baseline</t>
  </si>
  <si>
    <t>Rate-based Murabaha, total Profit USD 127.35</t>
  </si>
  <si>
    <t>1. Reschedule: 2 principal + 1 profit grace, no date change/extension/rate change.</t>
  </si>
  <si>
    <t>Same data as FRD 6.7</t>
  </si>
  <si>
    <t>Total Profit stays USD 127.35 (previous defect: 155.50).</t>
  </si>
  <si>
    <t>TC-22</t>
  </si>
  <si>
    <t>Deferred Profit collected later</t>
  </si>
  <si>
    <t>After profit grace</t>
  </si>
  <si>
    <t>1. Inspect revised schedule.</t>
  </si>
  <si>
    <t>Sum of Profit in remaining installments = Remaining Profit before grace.</t>
  </si>
  <si>
    <t>TC-23</t>
  </si>
  <si>
    <t>1. Same grace as baseline.</t>
  </si>
  <si>
    <t>Existing behaviour kept (e.g. 155.50).</t>
  </si>
  <si>
    <t>TC-24</t>
  </si>
  <si>
    <t>6.8</t>
  </si>
  <si>
    <t>Extend / shorten period</t>
  </si>
  <si>
    <t>Extend by 2 installments</t>
  </si>
  <si>
    <t>1. Capture before/after: Cost Price, Contractual Profit, Selling Price, Profit Paid, Remaining Profit, Maturity Date, No. of installments.
2. Reschedule: extend +2 installments.</t>
  </si>
  <si>
    <t>12 → 14 installments</t>
  </si>
  <si>
    <t>Maturity extended; Remaining Profit 883.815 redistributed over 11 installments; total 1,500.000.</t>
  </si>
  <si>
    <t>TC-25</t>
  </si>
  <si>
    <t>Extension crossing original maturity (+30 days)</t>
  </si>
  <si>
    <t>1. Extend so maturity moves +30 days.</t>
  </si>
  <si>
    <t>+30 days</t>
  </si>
  <si>
    <t>Invariant holds; no time-based Profit.</t>
  </si>
  <si>
    <t>TC-26</t>
  </si>
  <si>
    <t>Long extension (+90 days / +6 installments)</t>
  </si>
  <si>
    <t>1. Extend by 6 installments.</t>
  </si>
  <si>
    <t>12 → 18</t>
  </si>
  <si>
    <t>Invariant holds; Selling Price 11,500.000.</t>
  </si>
  <si>
    <t>TC-27</t>
  </si>
  <si>
    <t>Shorten by 2 installments</t>
  </si>
  <si>
    <t>1. Reschedule to fewer installments.</t>
  </si>
  <si>
    <t>12 → 10</t>
  </si>
  <si>
    <t>Installment amounts increase; Profit NOT reduced; total 1,500.000.</t>
  </si>
  <si>
    <t>TC-28</t>
  </si>
  <si>
    <t>Shorten via earlier maturity</t>
  </si>
  <si>
    <t>1. Bring maturity forward 2 months.</t>
  </si>
  <si>
    <t>Maturity −2 months</t>
  </si>
  <si>
    <t>Contractual Profit and Selling Price unchanged.</t>
  </si>
  <si>
    <t>TC-29</t>
  </si>
  <si>
    <t>6.9</t>
  </si>
  <si>
    <t>Profit rate adjustment</t>
  </si>
  <si>
    <t>Rate option hidden in reschedule screen</t>
  </si>
  <si>
    <t>Executed rate-based Murabaha</t>
  </si>
  <si>
    <t>1. Open Reschedule.</t>
  </si>
  <si>
    <t>"Adjust profit/interest rate" option not available.</t>
  </si>
  <si>
    <t>TC-30</t>
  </si>
  <si>
    <t>Rate change rejected by API</t>
  </si>
  <si>
    <t>1. POST reschedule request with newInterestRate.</t>
  </si>
  <si>
    <t>New rate +2%</t>
  </si>
  <si>
    <t>Request rejected with validation error; account unchanged.</t>
  </si>
  <si>
    <t>TC-31</t>
  </si>
  <si>
    <t>Rate change on Fixed Profit Amount financing</t>
  </si>
  <si>
    <t>1. Submit reschedule with a rate via API.</t>
  </si>
  <si>
    <t>Rejected; Contractual Profit unchanged.</t>
  </si>
  <si>
    <t>TC-32</t>
  </si>
  <si>
    <t>Conventional loan rate change still allowed</t>
  </si>
  <si>
    <t>1. Reschedule with new rate.</t>
  </si>
  <si>
    <t>+2%</t>
  </si>
  <si>
    <t>Existing behaviour kept.</t>
  </si>
  <si>
    <t>TC-33</t>
  </si>
  <si>
    <t>6.10</t>
  </si>
  <si>
    <t>Combined rescheduling</t>
  </si>
  <si>
    <t>Date change + extension</t>
  </si>
  <si>
    <t>1. Capture before/after: Cost Price, Contractual Profit, Selling Price, Profit Paid, Remaining Profit, Maturity Date, No. of installments.
2. Reschedule: date +15 days and extend +2.</t>
  </si>
  <si>
    <t>Invariant holds: Profit Paid + Remaining Profit = Contractual Profit (1,500.000); Selling Price = 11,500.000; Cost Price = 10,000.000.</t>
  </si>
  <si>
    <t>TC-34</t>
  </si>
  <si>
    <t>Grace + extension</t>
  </si>
  <si>
    <t>1. Reschedule: profit grace 1 + extend +2.</t>
  </si>
  <si>
    <t>TC-35</t>
  </si>
  <si>
    <t>Date change + grace</t>
  </si>
  <si>
    <t>1. Reschedule: date +15 days + principal grace 2.</t>
  </si>
  <si>
    <t>TC-36</t>
  </si>
  <si>
    <t>Date change + grace + extension</t>
  </si>
  <si>
    <t>1. Reschedule with all three options.</t>
  </si>
  <si>
    <t>TC-37</t>
  </si>
  <si>
    <t>Combination including rate change</t>
  </si>
  <si>
    <t>1. Submit date change + rate change via API.</t>
  </si>
  <si>
    <t>Whole request rejected; account unchanged.</t>
  </si>
  <si>
    <t>TC-38</t>
  </si>
  <si>
    <t>6.11</t>
  </si>
  <si>
    <t>Reschedule after partial repayment</t>
  </si>
  <si>
    <t>Reschedule after 3 installments paid</t>
  </si>
  <si>
    <t>Installments 1–3 paid (Profit Paid 616.185)</t>
  </si>
  <si>
    <t>1. Reschedule extend +2.
2. Check Profit Paid and Remaining.</t>
  </si>
  <si>
    <t>Profit Paid stays 616.185; revised schedule allocates exactly 883.815; total 1,500.000.</t>
  </si>
  <si>
    <t>TC-39</t>
  </si>
  <si>
    <t>Reschedule after part of an installment paid</t>
  </si>
  <si>
    <t>Installment 4 partly paid (500.000)</t>
  </si>
  <si>
    <t>1. Reschedule date +15 days.</t>
  </si>
  <si>
    <t>Paid part of installment 4 Profit not regenerated; invariant holds.</t>
  </si>
  <si>
    <t>TC-40</t>
  </si>
  <si>
    <t>FRD example 150 / 30 / 120</t>
  </si>
  <si>
    <t>Contractual Profit 150, Profit Paid 30</t>
  </si>
  <si>
    <t>1. Reschedule extend +2.</t>
  </si>
  <si>
    <t>Remaining Profit = 120 exactly (not 150, not time-based).</t>
  </si>
  <si>
    <t>TC-41</t>
  </si>
  <si>
    <t>Reschedule after prepayment</t>
  </si>
  <si>
    <t>Prepayment of 2,000.000 done</t>
  </si>
  <si>
    <t>Advance payment respected; invariant holds.</t>
  </si>
  <si>
    <t>TC-42</t>
  </si>
  <si>
    <t>6.12</t>
  </si>
  <si>
    <t>Late payment &amp; delinquency</t>
  </si>
  <si>
    <t>One day overdue</t>
  </si>
  <si>
    <t>Installment 1 unpaid</t>
  </si>
  <si>
    <t>1. Advance 1 day past due, run jobs.</t>
  </si>
  <si>
    <t>No additional Profit; Selling Price unchanged.</t>
  </si>
  <si>
    <t>Tested</t>
  </si>
  <si>
    <t>TC-43</t>
  </si>
  <si>
    <t>Extended delinquency (120 days)</t>
  </si>
  <si>
    <t>No payments</t>
  </si>
  <si>
    <t>1. Advance 120 days, run jobs.</t>
  </si>
  <si>
    <t>No additional Profit; delinquency bucket updated; Contractual Profit 1,500.000.</t>
  </si>
  <si>
    <t>TC-44</t>
  </si>
  <si>
    <t>Overdue beyond maturity</t>
  </si>
  <si>
    <t>Last installments unpaid</t>
  </si>
  <si>
    <t>1. Advance to maturity +60 days.</t>
  </si>
  <si>
    <t>No Profit after maturity; invariant holds.</t>
  </si>
  <si>
    <t>TC-45</t>
  </si>
  <si>
    <t>Delinquency after reschedule</t>
  </si>
  <si>
    <t>Rescheduled account</t>
  </si>
  <si>
    <t>1. Reschedule extend +2.
2. Skip next 2 installments, advance 60 days.</t>
  </si>
  <si>
    <t>No additional Profit; invariant holds.</t>
  </si>
  <si>
    <t>TC-46</t>
  </si>
  <si>
    <t>Late charge kept separate</t>
  </si>
  <si>
    <t>Overdue installment, product late charge configured</t>
  </si>
  <si>
    <t>1. Let charge apply.
2. Check Profit, Selling Price, charge balance.</t>
  </si>
  <si>
    <t>Late charge</t>
  </si>
  <si>
    <t>Charge shown separately; not added to Contractual Profit or Selling Price.</t>
  </si>
  <si>
    <t>TC-47</t>
  </si>
  <si>
    <t>6.13</t>
  </si>
  <si>
    <t>Early / full settlement</t>
  </si>
  <si>
    <t>Payoff quote on screen mid-period</t>
  </si>
  <si>
    <t>3 installments paid</t>
  </si>
  <si>
    <t>1. Open Early Settlement / Prepay on a date mid-period.</t>
  </si>
  <si>
    <t>Day 15 of period 4</t>
  </si>
  <si>
    <t>Payoff = outstanding Cost Price 7,741.186 + remaining Profit 883.815 = 8,625.001 (outstanding Selling Price, before any Ibra'); not interest-to-date.</t>
  </si>
  <si>
    <t>TC-48</t>
  </si>
  <si>
    <t>Payoff quote via API</t>
  </si>
  <si>
    <t>Same as previous</t>
  </si>
  <si>
    <t>1. Call prepay/payoff template API.</t>
  </si>
  <si>
    <t>Same amount as screen.</t>
  </si>
  <si>
    <t>TC-49</t>
  </si>
  <si>
    <t>Execute full early settlement</t>
  </si>
  <si>
    <t>1. Post payoff amount.
2. Check closure.</t>
  </si>
  <si>
    <t>8,625.001</t>
  </si>
  <si>
    <t>Account closed; total Profit collected = 1,500.000.</t>
  </si>
  <si>
    <t>TC-50</t>
  </si>
  <si>
    <t>Settlement with overdue amounts</t>
  </si>
  <si>
    <t>1 installment overdue + late charge</t>
  </si>
  <si>
    <t>1. Request payoff.</t>
  </si>
  <si>
    <t>Payoff = outstanding Selling Price + charges; no extra Profit.</t>
  </si>
  <si>
    <t>TC-51</t>
  </si>
  <si>
    <t>Conventional prepay unchanged</t>
  </si>
  <si>
    <t>1. Request prepay.</t>
  </si>
  <si>
    <t>Interest-to-date behaviour kept.</t>
  </si>
  <si>
    <t>TC-52</t>
  </si>
  <si>
    <t>6.14</t>
  </si>
  <si>
    <t>Reversal / correction</t>
  </si>
  <si>
    <t>Reverse a repayment</t>
  </si>
  <si>
    <t>Installment 1 paid</t>
  </si>
  <si>
    <t>1. Capture schedule.
2. Reverse the repayment.</t>
  </si>
  <si>
    <t>Schedule and Profit allocation restored exactly; invariant holds.</t>
  </si>
  <si>
    <t>TC-53</t>
  </si>
  <si>
    <t>Reverse a prepayment</t>
  </si>
  <si>
    <t>Prepayment 2,000.000 posted</t>
  </si>
  <si>
    <t>1. Reverse it.</t>
  </si>
  <si>
    <t>Previous schedule restored; no duplicate Profit.</t>
  </si>
  <si>
    <t>TC-54</t>
  </si>
  <si>
    <t>Adjust (edit) a repayment amount</t>
  </si>
  <si>
    <t>Repayment posted</t>
  </si>
  <si>
    <t>1. Adjust 958.333 → 500.000.</t>
  </si>
  <si>
    <t>Re-allocated correctly; total Profit 1,500.000.</t>
  </si>
  <si>
    <t>TC-55</t>
  </si>
  <si>
    <t>Undo a reschedule</t>
  </si>
  <si>
    <t>Approved reschedule</t>
  </si>
  <si>
    <t>1. Undo / reverse the reschedule (if supported).</t>
  </si>
  <si>
    <t>Previous schedule restored exactly.</t>
  </si>
  <si>
    <t>TC-56</t>
  </si>
  <si>
    <t>Undo Disbursal on executed Murabaha</t>
  </si>
  <si>
    <t>Disbursed, no repayments</t>
  </si>
  <si>
    <t>1. Undo Disbursal.
2. Check pricing fields.</t>
  </si>
  <si>
    <t>Per final FRD 4.5 decision (currently: pricing stays locked / native with restricted permission).</t>
  </si>
  <si>
    <t>TC-57</t>
  </si>
  <si>
    <t>6.15</t>
  </si>
  <si>
    <t>Other date / tenor changes</t>
  </si>
  <si>
    <t>Due date on a holiday (reschedule to next working day)</t>
  </si>
  <si>
    <t>Holiday defined on a due date, "reschedule to next working day"</t>
  </si>
  <si>
    <t>1. Run holiday processing / schedule regeneration.</t>
  </si>
  <si>
    <t>Holiday on inst. 5</t>
  </si>
  <si>
    <t>Date moves; Profit unchanged.</t>
  </si>
  <si>
    <t>TC-58</t>
  </si>
  <si>
    <t>Change repayment frequency (if supported)</t>
  </si>
  <si>
    <t>1. Change frequency monthly → bi-monthly via available action.</t>
  </si>
  <si>
    <t>Invariant holds, or action rejected.</t>
  </si>
  <si>
    <t>Low</t>
  </si>
  <si>
    <t>TC-59</t>
  </si>
  <si>
    <t>Any regeneration breaking invariant is rejected</t>
  </si>
  <si>
    <t>1. Trigger a regeneration that would add Profit (e.g. defect build / API with forced recalc).</t>
  </si>
  <si>
    <t>Rejected with message "This action would change the contractual Murabaha Profit and is not permitted." and logged in audit.</t>
  </si>
  <si>
    <t>TC-60</t>
  </si>
  <si>
    <t>6.16</t>
  </si>
  <si>
    <t>Accounting &amp; accrual</t>
  </si>
  <si>
    <t>Total recognized Profit over life</t>
  </si>
  <si>
    <t>Full lifecycle with one reschedule</t>
  </si>
  <si>
    <t>1. Run to closure.
2. Sum Profit income GL postings.</t>
  </si>
  <si>
    <t>Total recognized = 1,500.000.</t>
  </si>
  <si>
    <t>TC-61</t>
  </si>
  <si>
    <t>Accrual follows revised schedule</t>
  </si>
  <si>
    <t>After reschedule</t>
  </si>
  <si>
    <t>1. Run accruals after reschedule.</t>
  </si>
  <si>
    <t>Accrual timing follows new schedule; cumulative ≤ 1,500.000.</t>
  </si>
  <si>
    <t>TC-62</t>
  </si>
  <si>
    <t>Late charge GL separate from Profit</t>
  </si>
  <si>
    <t>Late charge applied</t>
  </si>
  <si>
    <t>1. Check journal entries.</t>
  </si>
  <si>
    <t>Charge posted to its own GL, not Profit income.</t>
  </si>
  <si>
    <t>TC-63</t>
  </si>
  <si>
    <t>6.19</t>
  </si>
  <si>
    <t>Profit waiver</t>
  </si>
  <si>
    <t>Waive Interest hidden in UI</t>
  </si>
  <si>
    <t>1. Open account Payments menu.</t>
  </si>
  <si>
    <t>"Waive Interest" not displayed.</t>
  </si>
  <si>
    <t>TC-64</t>
  </si>
  <si>
    <t>Waive Interest rejected by API</t>
  </si>
  <si>
    <t>1. POST waiveinterest transaction.</t>
  </si>
  <si>
    <t>100.000</t>
  </si>
  <si>
    <t>TC-65</t>
  </si>
  <si>
    <t>Charge waiver still allowed</t>
  </si>
  <si>
    <t>1. Waive the charge.</t>
  </si>
  <si>
    <t>Charge waived; Profit unchanged.</t>
  </si>
  <si>
    <t>TC-66</t>
  </si>
  <si>
    <t>Conventional Waive Interest unchanged</t>
  </si>
  <si>
    <t>1. Waive interest.</t>
  </si>
  <si>
    <t>TC-67</t>
  </si>
  <si>
    <t>6.20</t>
  </si>
  <si>
    <t>Write-off</t>
  </si>
  <si>
    <t>Write-off of executed Murabaha</t>
  </si>
  <si>
    <t>1. Write off the account.
2. Check pricing fields.</t>
  </si>
  <si>
    <t>Contractual Profit 1,500.000, Profit Paid 616.185, Selling Price 11,500.000 unchanged; unpaid Cost Price 7,741.186 and unpaid Profit 883.815 shown as written off.</t>
  </si>
  <si>
    <t>TC-68</t>
  </si>
  <si>
    <t>Write-off after partial payment of an installment</t>
  </si>
  <si>
    <t>Installment 4 partly paid</t>
  </si>
  <si>
    <t>1. Write off.</t>
  </si>
  <si>
    <t>Same as above with correct split.</t>
  </si>
  <si>
    <t>TC-69</t>
  </si>
  <si>
    <t>6.21</t>
  </si>
  <si>
    <t>Top-up &amp; payoff</t>
  </si>
  <si>
    <t>Top-up hidden for executed Murabaha</t>
  </si>
  <si>
    <t>1. Open account actions / new financing with top-up.</t>
  </si>
  <si>
    <t>Top-up option not available.</t>
  </si>
  <si>
    <t>TC-70</t>
  </si>
  <si>
    <t>Top-up rejected by API</t>
  </si>
  <si>
    <t>1. Create loan with isTopup = true referencing the Murabaha.</t>
  </si>
  <si>
    <t>Rejected.</t>
  </si>
  <si>
    <t>TC-71</t>
  </si>
  <si>
    <t>6.18</t>
  </si>
  <si>
    <t>Core principle</t>
  </si>
  <si>
    <t>Invariant check across all servicing scenarios</t>
  </si>
  <si>
    <t>B1, B2, B3</t>
  </si>
  <si>
    <t>Run after each scenario above</t>
  </si>
  <si>
    <t>1. For each executed scenario recompute Profit Paid + Remaining Profit.</t>
  </si>
  <si>
    <t>Equals Contractual Profit at all times; Fixed Profit Amount (B1, B2) and Profit Rate (B3) both pass.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</si>
</sst>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theme="1"/>
      <name val="Arial"/>
    </font>
    <font>
      <i/>
      <sz val="9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sz val="9.0"/>
      <color theme="1"/>
      <name val="Arial"/>
    </font>
    <font>
      <i/>
      <sz val="10.0"/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center" wrapText="1"/>
    </xf>
    <xf borderId="1" fillId="2" fontId="3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2" width="7.0"/>
    <col customWidth="1" min="3" max="3" width="18.0"/>
    <col customWidth="1" min="4" max="4" width="30.0"/>
    <col customWidth="1" min="5" max="5" width="10.0"/>
    <col customWidth="1" min="6" max="6" width="9.0"/>
    <col customWidth="1" min="7" max="7" width="24.0"/>
    <col customWidth="1" min="8" max="8" width="40.0"/>
    <col customWidth="1" min="9" max="9" width="16.0"/>
    <col customWidth="1" min="10" max="10" width="42.0"/>
    <col customWidth="1" min="11" max="11" width="12.0"/>
    <col customWidth="1" min="12" max="12" width="8.0"/>
    <col customWidth="1" min="13" max="13" width="24.0"/>
    <col customWidth="1" min="14" max="17" width="10.0"/>
    <col customWidth="1" min="18" max="18" width="20.0"/>
    <col customWidth="1" min="19" max="26" width="8.71"/>
  </cols>
  <sheetData>
    <row r="1">
      <c r="A1" s="1" t="s">
        <v>1</v>
      </c>
    </row>
    <row r="2">
      <c r="A2" s="2" t="s">
        <v>2</v>
      </c>
    </row>
    <row r="4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10</v>
      </c>
      <c r="H4" s="3" t="s">
        <v>12</v>
      </c>
      <c r="I4" s="3" t="s">
        <v>13</v>
      </c>
      <c r="J4" s="3" t="s">
        <v>15</v>
      </c>
      <c r="K4" s="3" t="s">
        <v>17</v>
      </c>
      <c r="L4" s="3" t="s">
        <v>19</v>
      </c>
      <c r="M4" s="3" t="s">
        <v>21</v>
      </c>
      <c r="N4" s="3" t="s">
        <v>23</v>
      </c>
      <c r="O4" s="3" t="s">
        <v>24</v>
      </c>
      <c r="P4" s="3" t="s">
        <v>26</v>
      </c>
      <c r="Q4" s="3" t="s">
        <v>29</v>
      </c>
      <c r="R4" s="3" t="s">
        <v>31</v>
      </c>
    </row>
    <row r="5">
      <c r="A5" s="6" t="s">
        <v>35</v>
      </c>
      <c r="B5" s="6" t="s">
        <v>27</v>
      </c>
      <c r="C5" s="6" t="s">
        <v>33</v>
      </c>
      <c r="D5" s="6" t="s">
        <v>38</v>
      </c>
      <c r="E5" s="6" t="s">
        <v>40</v>
      </c>
      <c r="F5" s="6" t="s">
        <v>41</v>
      </c>
      <c r="G5" s="6" t="s">
        <v>42</v>
      </c>
      <c r="H5" s="6" t="s">
        <v>43</v>
      </c>
      <c r="I5" s="6" t="s">
        <v>44</v>
      </c>
      <c r="J5" s="6" t="s">
        <v>45</v>
      </c>
      <c r="K5" s="6" t="s">
        <v>46</v>
      </c>
      <c r="L5" s="6" t="s">
        <v>47</v>
      </c>
      <c r="M5" s="6"/>
      <c r="N5" s="6" t="s">
        <v>20</v>
      </c>
      <c r="O5" s="6"/>
      <c r="P5" s="6"/>
      <c r="Q5" s="6"/>
      <c r="R5" s="6"/>
    </row>
    <row r="6">
      <c r="A6" s="6" t="s">
        <v>54</v>
      </c>
      <c r="B6" s="6" t="s">
        <v>27</v>
      </c>
      <c r="C6" s="6" t="s">
        <v>33</v>
      </c>
      <c r="D6" s="6" t="s">
        <v>57</v>
      </c>
      <c r="E6" s="6" t="s">
        <v>40</v>
      </c>
      <c r="F6" s="6" t="s">
        <v>41</v>
      </c>
      <c r="G6" s="6" t="s">
        <v>60</v>
      </c>
      <c r="H6" s="6" t="s">
        <v>61</v>
      </c>
      <c r="I6" s="6" t="s">
        <v>62</v>
      </c>
      <c r="J6" s="6" t="s">
        <v>64</v>
      </c>
      <c r="K6" s="6" t="s">
        <v>46</v>
      </c>
      <c r="L6" s="6" t="s">
        <v>47</v>
      </c>
      <c r="M6" s="6"/>
      <c r="N6" s="6" t="s">
        <v>20</v>
      </c>
      <c r="O6" s="6"/>
      <c r="P6" s="6"/>
      <c r="Q6" s="6"/>
      <c r="R6" s="6"/>
    </row>
    <row r="7">
      <c r="A7" s="6" t="s">
        <v>70</v>
      </c>
      <c r="B7" s="6" t="s">
        <v>71</v>
      </c>
      <c r="C7" s="6" t="s">
        <v>72</v>
      </c>
      <c r="D7" s="6" t="s">
        <v>73</v>
      </c>
      <c r="E7" s="6" t="s">
        <v>40</v>
      </c>
      <c r="F7" s="6" t="s">
        <v>41</v>
      </c>
      <c r="G7" s="6" t="s">
        <v>74</v>
      </c>
      <c r="H7" s="6" t="s">
        <v>76</v>
      </c>
      <c r="I7" s="6" t="s">
        <v>78</v>
      </c>
      <c r="J7" s="6" t="s">
        <v>81</v>
      </c>
      <c r="K7" s="6" t="s">
        <v>82</v>
      </c>
      <c r="L7" s="6" t="s">
        <v>47</v>
      </c>
      <c r="M7" s="6"/>
      <c r="N7" s="6" t="s">
        <v>20</v>
      </c>
      <c r="O7" s="6"/>
      <c r="P7" s="6"/>
      <c r="Q7" s="6"/>
      <c r="R7" s="6"/>
    </row>
    <row r="8">
      <c r="A8" s="6" t="s">
        <v>90</v>
      </c>
      <c r="B8" s="6" t="s">
        <v>71</v>
      </c>
      <c r="C8" s="6" t="s">
        <v>72</v>
      </c>
      <c r="D8" s="6" t="s">
        <v>93</v>
      </c>
      <c r="E8" s="6" t="s">
        <v>40</v>
      </c>
      <c r="F8" s="6" t="s">
        <v>41</v>
      </c>
      <c r="G8" s="6" t="s">
        <v>96</v>
      </c>
      <c r="H8" s="6" t="s">
        <v>98</v>
      </c>
      <c r="I8" s="6" t="s">
        <v>99</v>
      </c>
      <c r="J8" s="6" t="s">
        <v>100</v>
      </c>
      <c r="K8" s="6" t="s">
        <v>82</v>
      </c>
      <c r="L8" s="6" t="s">
        <v>47</v>
      </c>
      <c r="M8" s="6"/>
      <c r="N8" s="6" t="s">
        <v>20</v>
      </c>
      <c r="O8" s="6"/>
      <c r="P8" s="6"/>
      <c r="Q8" s="6"/>
      <c r="R8" s="6"/>
    </row>
    <row r="9">
      <c r="A9" s="6" t="s">
        <v>102</v>
      </c>
      <c r="B9" s="6" t="s">
        <v>71</v>
      </c>
      <c r="C9" s="6" t="s">
        <v>72</v>
      </c>
      <c r="D9" s="6" t="s">
        <v>103</v>
      </c>
      <c r="E9" s="6" t="s">
        <v>40</v>
      </c>
      <c r="F9" s="6" t="s">
        <v>41</v>
      </c>
      <c r="G9" s="6" t="s">
        <v>104</v>
      </c>
      <c r="H9" s="6" t="s">
        <v>105</v>
      </c>
      <c r="I9" s="6" t="s">
        <v>106</v>
      </c>
      <c r="J9" s="6" t="s">
        <v>107</v>
      </c>
      <c r="K9" s="6" t="s">
        <v>46</v>
      </c>
      <c r="L9" s="6" t="s">
        <v>47</v>
      </c>
      <c r="M9" s="6"/>
      <c r="N9" s="6" t="s">
        <v>20</v>
      </c>
      <c r="O9" s="6"/>
      <c r="P9" s="6"/>
      <c r="Q9" s="6"/>
      <c r="R9" s="6"/>
    </row>
    <row r="10">
      <c r="A10" s="6" t="s">
        <v>108</v>
      </c>
      <c r="B10" s="6" t="s">
        <v>71</v>
      </c>
      <c r="C10" s="6" t="s">
        <v>72</v>
      </c>
      <c r="D10" s="6" t="s">
        <v>109</v>
      </c>
      <c r="E10" s="6" t="s">
        <v>110</v>
      </c>
      <c r="F10" s="6" t="s">
        <v>41</v>
      </c>
      <c r="G10" s="6" t="s">
        <v>111</v>
      </c>
      <c r="H10" s="6" t="s">
        <v>112</v>
      </c>
      <c r="I10" s="6" t="s">
        <v>113</v>
      </c>
      <c r="J10" s="6" t="s">
        <v>114</v>
      </c>
      <c r="K10" s="6" t="s">
        <v>46</v>
      </c>
      <c r="L10" s="6" t="s">
        <v>115</v>
      </c>
      <c r="M10" s="6"/>
      <c r="N10" s="6" t="s">
        <v>20</v>
      </c>
      <c r="O10" s="6"/>
      <c r="P10" s="6"/>
      <c r="Q10" s="6"/>
      <c r="R10" s="6"/>
    </row>
    <row r="11">
      <c r="A11" s="6" t="s">
        <v>116</v>
      </c>
      <c r="B11" s="6" t="s">
        <v>71</v>
      </c>
      <c r="C11" s="6" t="s">
        <v>72</v>
      </c>
      <c r="D11" s="6" t="s">
        <v>117</v>
      </c>
      <c r="E11" s="6" t="s">
        <v>40</v>
      </c>
      <c r="F11" s="6" t="s">
        <v>41</v>
      </c>
      <c r="G11" s="6" t="s">
        <v>118</v>
      </c>
      <c r="H11" s="6" t="s">
        <v>119</v>
      </c>
      <c r="I11" s="6" t="s">
        <v>120</v>
      </c>
      <c r="J11" s="6" t="s">
        <v>121</v>
      </c>
      <c r="K11" s="6" t="s">
        <v>46</v>
      </c>
      <c r="L11" s="6" t="s">
        <v>47</v>
      </c>
      <c r="M11" s="6"/>
      <c r="N11" s="6" t="s">
        <v>20</v>
      </c>
      <c r="O11" s="6"/>
      <c r="P11" s="6"/>
      <c r="Q11" s="6"/>
      <c r="R11" s="6"/>
    </row>
    <row r="12">
      <c r="A12" s="6" t="s">
        <v>122</v>
      </c>
      <c r="B12" s="6" t="s">
        <v>123</v>
      </c>
      <c r="C12" s="6" t="s">
        <v>124</v>
      </c>
      <c r="D12" s="6" t="s">
        <v>125</v>
      </c>
      <c r="E12" s="6" t="s">
        <v>40</v>
      </c>
      <c r="F12" s="6" t="s">
        <v>41</v>
      </c>
      <c r="G12" s="6" t="s">
        <v>126</v>
      </c>
      <c r="H12" s="6" t="s">
        <v>127</v>
      </c>
      <c r="I12" s="6" t="s">
        <v>128</v>
      </c>
      <c r="J12" s="6" t="s">
        <v>129</v>
      </c>
      <c r="K12" s="6" t="s">
        <v>82</v>
      </c>
      <c r="L12" s="6" t="s">
        <v>47</v>
      </c>
      <c r="M12" s="6"/>
      <c r="N12" s="6" t="s">
        <v>20</v>
      </c>
      <c r="O12" s="6"/>
      <c r="P12" s="6"/>
      <c r="Q12" s="6"/>
      <c r="R12" s="6"/>
    </row>
    <row r="13">
      <c r="A13" s="6" t="s">
        <v>130</v>
      </c>
      <c r="B13" s="6" t="s">
        <v>123</v>
      </c>
      <c r="C13" s="6" t="s">
        <v>124</v>
      </c>
      <c r="D13" s="6" t="s">
        <v>131</v>
      </c>
      <c r="E13" s="6" t="s">
        <v>40</v>
      </c>
      <c r="F13" s="6" t="s">
        <v>41</v>
      </c>
      <c r="G13" s="6" t="s">
        <v>111</v>
      </c>
      <c r="H13" s="6" t="s">
        <v>132</v>
      </c>
      <c r="I13" s="6" t="s">
        <v>133</v>
      </c>
      <c r="J13" s="6" t="s">
        <v>134</v>
      </c>
      <c r="K13" s="6" t="s">
        <v>46</v>
      </c>
      <c r="L13" s="6" t="s">
        <v>115</v>
      </c>
      <c r="M13" s="6"/>
      <c r="N13" s="6" t="s">
        <v>20</v>
      </c>
      <c r="O13" s="6"/>
      <c r="P13" s="6"/>
      <c r="Q13" s="6"/>
      <c r="R13" s="6"/>
    </row>
    <row r="14">
      <c r="A14" s="6" t="s">
        <v>135</v>
      </c>
      <c r="B14" s="6" t="s">
        <v>123</v>
      </c>
      <c r="C14" s="6" t="s">
        <v>124</v>
      </c>
      <c r="D14" s="6" t="s">
        <v>136</v>
      </c>
      <c r="E14" s="6" t="s">
        <v>40</v>
      </c>
      <c r="F14" s="6" t="s">
        <v>41</v>
      </c>
      <c r="G14" s="6" t="s">
        <v>137</v>
      </c>
      <c r="H14" s="6" t="s">
        <v>138</v>
      </c>
      <c r="I14" s="6" t="s">
        <v>139</v>
      </c>
      <c r="J14" s="6" t="s">
        <v>140</v>
      </c>
      <c r="K14" s="6" t="s">
        <v>46</v>
      </c>
      <c r="L14" s="6" t="s">
        <v>47</v>
      </c>
      <c r="M14" s="6"/>
      <c r="N14" s="6" t="s">
        <v>20</v>
      </c>
      <c r="O14" s="6"/>
      <c r="P14" s="6"/>
      <c r="Q14" s="6"/>
      <c r="R14" s="6"/>
    </row>
    <row r="15">
      <c r="A15" s="6" t="s">
        <v>141</v>
      </c>
      <c r="B15" s="6" t="s">
        <v>123</v>
      </c>
      <c r="C15" s="6" t="s">
        <v>124</v>
      </c>
      <c r="D15" s="6" t="s">
        <v>142</v>
      </c>
      <c r="E15" s="6" t="s">
        <v>40</v>
      </c>
      <c r="F15" s="6" t="s">
        <v>41</v>
      </c>
      <c r="G15" s="6" t="s">
        <v>111</v>
      </c>
      <c r="H15" s="6" t="s">
        <v>143</v>
      </c>
      <c r="I15" s="6" t="s">
        <v>144</v>
      </c>
      <c r="J15" s="6" t="s">
        <v>145</v>
      </c>
      <c r="K15" s="6" t="s">
        <v>46</v>
      </c>
      <c r="L15" s="6" t="s">
        <v>115</v>
      </c>
      <c r="M15" s="6"/>
      <c r="N15" s="6" t="s">
        <v>20</v>
      </c>
      <c r="O15" s="6"/>
      <c r="P15" s="6"/>
      <c r="Q15" s="6"/>
      <c r="R15" s="6"/>
    </row>
    <row r="16">
      <c r="A16" s="6" t="s">
        <v>146</v>
      </c>
      <c r="B16" s="6" t="s">
        <v>123</v>
      </c>
      <c r="C16" s="6" t="s">
        <v>124</v>
      </c>
      <c r="D16" s="6" t="s">
        <v>147</v>
      </c>
      <c r="E16" s="6" t="s">
        <v>40</v>
      </c>
      <c r="F16" s="6" t="s">
        <v>41</v>
      </c>
      <c r="G16" s="6" t="s">
        <v>111</v>
      </c>
      <c r="H16" s="6" t="s">
        <v>148</v>
      </c>
      <c r="I16" s="6" t="s">
        <v>149</v>
      </c>
      <c r="J16" s="6" t="s">
        <v>150</v>
      </c>
      <c r="K16" s="6" t="s">
        <v>82</v>
      </c>
      <c r="L16" s="6" t="s">
        <v>47</v>
      </c>
      <c r="M16" s="6"/>
      <c r="N16" s="6" t="s">
        <v>20</v>
      </c>
      <c r="O16" s="6"/>
      <c r="P16" s="6"/>
      <c r="Q16" s="6"/>
      <c r="R16" s="6"/>
    </row>
    <row r="17">
      <c r="A17" s="6" t="s">
        <v>151</v>
      </c>
      <c r="B17" s="6" t="s">
        <v>123</v>
      </c>
      <c r="C17" s="6" t="s">
        <v>124</v>
      </c>
      <c r="D17" s="6" t="s">
        <v>152</v>
      </c>
      <c r="E17" s="6" t="s">
        <v>110</v>
      </c>
      <c r="F17" s="6" t="s">
        <v>153</v>
      </c>
      <c r="G17" s="6" t="s">
        <v>154</v>
      </c>
      <c r="H17" s="6" t="s">
        <v>155</v>
      </c>
      <c r="I17" s="6" t="s">
        <v>77</v>
      </c>
      <c r="J17" s="6" t="s">
        <v>156</v>
      </c>
      <c r="K17" s="6" t="s">
        <v>46</v>
      </c>
      <c r="L17" s="6" t="s">
        <v>115</v>
      </c>
      <c r="M17" s="6"/>
      <c r="N17" s="6" t="s">
        <v>20</v>
      </c>
      <c r="O17" s="6"/>
      <c r="P17" s="6"/>
      <c r="Q17" s="6"/>
      <c r="R17" s="6"/>
    </row>
    <row r="18">
      <c r="A18" s="6" t="s">
        <v>157</v>
      </c>
      <c r="B18" s="6" t="s">
        <v>158</v>
      </c>
      <c r="C18" s="6" t="s">
        <v>159</v>
      </c>
      <c r="D18" s="6" t="s">
        <v>160</v>
      </c>
      <c r="E18" s="6" t="s">
        <v>40</v>
      </c>
      <c r="F18" s="6" t="s">
        <v>41</v>
      </c>
      <c r="G18" s="6" t="s">
        <v>161</v>
      </c>
      <c r="H18" s="6" t="s">
        <v>162</v>
      </c>
      <c r="I18" s="6" t="s">
        <v>163</v>
      </c>
      <c r="J18" s="6" t="s">
        <v>164</v>
      </c>
      <c r="K18" s="6" t="s">
        <v>165</v>
      </c>
      <c r="L18" s="6" t="s">
        <v>47</v>
      </c>
      <c r="M18" s="6"/>
      <c r="N18" s="6" t="s">
        <v>20</v>
      </c>
      <c r="O18" s="6"/>
      <c r="P18" s="6"/>
      <c r="Q18" s="6"/>
      <c r="R18" s="6"/>
    </row>
    <row r="19">
      <c r="A19" s="6" t="s">
        <v>166</v>
      </c>
      <c r="B19" s="6" t="s">
        <v>158</v>
      </c>
      <c r="C19" s="6" t="s">
        <v>159</v>
      </c>
      <c r="D19" s="6" t="s">
        <v>167</v>
      </c>
      <c r="E19" s="6" t="s">
        <v>40</v>
      </c>
      <c r="F19" s="6" t="s">
        <v>41</v>
      </c>
      <c r="G19" s="6" t="s">
        <v>111</v>
      </c>
      <c r="H19" s="6" t="s">
        <v>168</v>
      </c>
      <c r="I19" s="6" t="s">
        <v>169</v>
      </c>
      <c r="J19" s="6" t="s">
        <v>170</v>
      </c>
      <c r="K19" s="6" t="s">
        <v>165</v>
      </c>
      <c r="L19" s="6" t="s">
        <v>47</v>
      </c>
      <c r="M19" s="6"/>
      <c r="N19" s="6" t="s">
        <v>20</v>
      </c>
      <c r="O19" s="6"/>
      <c r="P19" s="6"/>
      <c r="Q19" s="6"/>
      <c r="R19" s="6"/>
    </row>
    <row r="20">
      <c r="A20" s="6" t="s">
        <v>171</v>
      </c>
      <c r="B20" s="6" t="s">
        <v>158</v>
      </c>
      <c r="C20" s="6" t="s">
        <v>159</v>
      </c>
      <c r="D20" s="6" t="s">
        <v>172</v>
      </c>
      <c r="E20" s="6" t="s">
        <v>40</v>
      </c>
      <c r="F20" s="6" t="s">
        <v>41</v>
      </c>
      <c r="G20" s="6" t="s">
        <v>111</v>
      </c>
      <c r="H20" s="6" t="s">
        <v>173</v>
      </c>
      <c r="I20" s="6" t="s">
        <v>174</v>
      </c>
      <c r="J20" s="6" t="s">
        <v>175</v>
      </c>
      <c r="K20" s="6" t="s">
        <v>46</v>
      </c>
      <c r="L20" s="6" t="s">
        <v>47</v>
      </c>
      <c r="M20" s="6"/>
      <c r="N20" s="6" t="s">
        <v>20</v>
      </c>
      <c r="O20" s="6"/>
      <c r="P20" s="6"/>
      <c r="Q20" s="6"/>
      <c r="R20" s="6"/>
    </row>
    <row r="21" ht="15.75" customHeight="1">
      <c r="A21" s="6" t="s">
        <v>176</v>
      </c>
      <c r="B21" s="6" t="s">
        <v>158</v>
      </c>
      <c r="C21" s="6" t="s">
        <v>159</v>
      </c>
      <c r="D21" s="6" t="s">
        <v>177</v>
      </c>
      <c r="E21" s="6" t="s">
        <v>178</v>
      </c>
      <c r="F21" s="6" t="s">
        <v>66</v>
      </c>
      <c r="G21" s="6" t="s">
        <v>179</v>
      </c>
      <c r="H21" s="6" t="s">
        <v>180</v>
      </c>
      <c r="I21" s="6" t="s">
        <v>181</v>
      </c>
      <c r="J21" s="6" t="s">
        <v>182</v>
      </c>
      <c r="K21" s="6" t="s">
        <v>165</v>
      </c>
      <c r="L21" s="6" t="s">
        <v>47</v>
      </c>
      <c r="M21" s="6"/>
      <c r="N21" s="6" t="s">
        <v>20</v>
      </c>
      <c r="O21" s="6"/>
      <c r="P21" s="6"/>
      <c r="Q21" s="6"/>
      <c r="R21" s="6"/>
    </row>
    <row r="22" ht="15.75" customHeight="1">
      <c r="A22" s="6" t="s">
        <v>183</v>
      </c>
      <c r="B22" s="6" t="s">
        <v>158</v>
      </c>
      <c r="C22" s="6" t="s">
        <v>159</v>
      </c>
      <c r="D22" s="6" t="s">
        <v>184</v>
      </c>
      <c r="E22" s="6" t="s">
        <v>178</v>
      </c>
      <c r="F22" s="6" t="s">
        <v>83</v>
      </c>
      <c r="G22" s="6" t="s">
        <v>185</v>
      </c>
      <c r="H22" s="6" t="s">
        <v>186</v>
      </c>
      <c r="I22" s="6" t="s">
        <v>187</v>
      </c>
      <c r="J22" s="6" t="s">
        <v>188</v>
      </c>
      <c r="K22" s="6" t="s">
        <v>46</v>
      </c>
      <c r="L22" s="6" t="s">
        <v>115</v>
      </c>
      <c r="M22" s="6"/>
      <c r="N22" s="6" t="s">
        <v>20</v>
      </c>
      <c r="O22" s="6"/>
      <c r="P22" s="6"/>
      <c r="Q22" s="6"/>
      <c r="R22" s="6"/>
    </row>
    <row r="23" ht="15.75" customHeight="1">
      <c r="A23" s="6" t="s">
        <v>189</v>
      </c>
      <c r="B23" s="6" t="s">
        <v>190</v>
      </c>
      <c r="C23" s="6" t="s">
        <v>191</v>
      </c>
      <c r="D23" s="6" t="s">
        <v>192</v>
      </c>
      <c r="E23" s="6" t="s">
        <v>40</v>
      </c>
      <c r="F23" s="6" t="s">
        <v>41</v>
      </c>
      <c r="G23" s="6" t="s">
        <v>111</v>
      </c>
      <c r="H23" s="6" t="s">
        <v>193</v>
      </c>
      <c r="I23" s="6" t="s">
        <v>194</v>
      </c>
      <c r="J23" s="6" t="s">
        <v>195</v>
      </c>
      <c r="K23" s="6" t="s">
        <v>165</v>
      </c>
      <c r="L23" s="6" t="s">
        <v>47</v>
      </c>
      <c r="M23" s="6"/>
      <c r="N23" s="6" t="s">
        <v>20</v>
      </c>
      <c r="O23" s="6"/>
      <c r="P23" s="6"/>
      <c r="Q23" s="6"/>
      <c r="R23" s="6"/>
    </row>
    <row r="24" ht="15.75" customHeight="1">
      <c r="A24" s="6" t="s">
        <v>196</v>
      </c>
      <c r="B24" s="6" t="s">
        <v>190</v>
      </c>
      <c r="C24" s="6" t="s">
        <v>191</v>
      </c>
      <c r="D24" s="6" t="s">
        <v>197</v>
      </c>
      <c r="E24" s="6" t="s">
        <v>40</v>
      </c>
      <c r="F24" s="6" t="s">
        <v>41</v>
      </c>
      <c r="G24" s="6" t="s">
        <v>111</v>
      </c>
      <c r="H24" s="6" t="s">
        <v>198</v>
      </c>
      <c r="I24" s="6" t="s">
        <v>199</v>
      </c>
      <c r="J24" s="6" t="s">
        <v>200</v>
      </c>
      <c r="K24" s="6" t="s">
        <v>165</v>
      </c>
      <c r="L24" s="6" t="s">
        <v>47</v>
      </c>
      <c r="M24" s="6"/>
      <c r="N24" s="6" t="s">
        <v>20</v>
      </c>
      <c r="O24" s="6"/>
      <c r="P24" s="6"/>
      <c r="Q24" s="6"/>
      <c r="R24" s="6"/>
    </row>
    <row r="25" ht="15.75" customHeight="1">
      <c r="A25" s="6" t="s">
        <v>201</v>
      </c>
      <c r="B25" s="6" t="s">
        <v>190</v>
      </c>
      <c r="C25" s="6" t="s">
        <v>191</v>
      </c>
      <c r="D25" s="6" t="s">
        <v>202</v>
      </c>
      <c r="E25" s="6" t="s">
        <v>178</v>
      </c>
      <c r="F25" s="6" t="s">
        <v>66</v>
      </c>
      <c r="G25" s="6" t="s">
        <v>203</v>
      </c>
      <c r="H25" s="6" t="s">
        <v>204</v>
      </c>
      <c r="I25" s="6" t="s">
        <v>205</v>
      </c>
      <c r="J25" s="6" t="s">
        <v>206</v>
      </c>
      <c r="K25" s="6" t="s">
        <v>165</v>
      </c>
      <c r="L25" s="6" t="s">
        <v>47</v>
      </c>
      <c r="M25" s="6"/>
      <c r="N25" s="6" t="s">
        <v>20</v>
      </c>
      <c r="O25" s="6"/>
      <c r="P25" s="6"/>
      <c r="Q25" s="6"/>
      <c r="R25" s="6"/>
    </row>
    <row r="26" ht="15.75" customHeight="1">
      <c r="A26" s="6" t="s">
        <v>207</v>
      </c>
      <c r="B26" s="6" t="s">
        <v>190</v>
      </c>
      <c r="C26" s="6" t="s">
        <v>191</v>
      </c>
      <c r="D26" s="6" t="s">
        <v>208</v>
      </c>
      <c r="E26" s="6" t="s">
        <v>40</v>
      </c>
      <c r="F26" s="6" t="s">
        <v>41</v>
      </c>
      <c r="G26" s="6" t="s">
        <v>209</v>
      </c>
      <c r="H26" s="6" t="s">
        <v>210</v>
      </c>
      <c r="I26" s="6" t="s">
        <v>77</v>
      </c>
      <c r="J26" s="6" t="s">
        <v>211</v>
      </c>
      <c r="K26" s="6" t="s">
        <v>46</v>
      </c>
      <c r="L26" s="6" t="s">
        <v>115</v>
      </c>
      <c r="M26" s="6"/>
      <c r="N26" s="6" t="s">
        <v>20</v>
      </c>
      <c r="O26" s="6"/>
      <c r="P26" s="6"/>
      <c r="Q26" s="6"/>
      <c r="R26" s="6"/>
    </row>
    <row r="27" ht="15.75" customHeight="1">
      <c r="A27" s="6" t="s">
        <v>212</v>
      </c>
      <c r="B27" s="6" t="s">
        <v>190</v>
      </c>
      <c r="C27" s="6" t="s">
        <v>191</v>
      </c>
      <c r="D27" s="6" t="s">
        <v>184</v>
      </c>
      <c r="E27" s="6" t="s">
        <v>178</v>
      </c>
      <c r="F27" s="6" t="s">
        <v>83</v>
      </c>
      <c r="G27" s="6" t="s">
        <v>84</v>
      </c>
      <c r="H27" s="6" t="s">
        <v>213</v>
      </c>
      <c r="I27" s="6" t="s">
        <v>77</v>
      </c>
      <c r="J27" s="6" t="s">
        <v>214</v>
      </c>
      <c r="K27" s="6" t="s">
        <v>46</v>
      </c>
      <c r="L27" s="6" t="s">
        <v>115</v>
      </c>
      <c r="M27" s="6"/>
      <c r="N27" s="6" t="s">
        <v>20</v>
      </c>
      <c r="O27" s="6"/>
      <c r="P27" s="6"/>
      <c r="Q27" s="6"/>
      <c r="R27" s="6"/>
    </row>
    <row r="28" ht="15.75" customHeight="1">
      <c r="A28" s="6" t="s">
        <v>215</v>
      </c>
      <c r="B28" s="6" t="s">
        <v>216</v>
      </c>
      <c r="C28" s="6" t="s">
        <v>217</v>
      </c>
      <c r="D28" s="6" t="s">
        <v>218</v>
      </c>
      <c r="E28" s="6" t="s">
        <v>40</v>
      </c>
      <c r="F28" s="6" t="s">
        <v>41</v>
      </c>
      <c r="G28" s="6" t="s">
        <v>161</v>
      </c>
      <c r="H28" s="6" t="s">
        <v>219</v>
      </c>
      <c r="I28" s="6" t="s">
        <v>220</v>
      </c>
      <c r="J28" s="6" t="s">
        <v>221</v>
      </c>
      <c r="K28" s="6" t="s">
        <v>46</v>
      </c>
      <c r="L28" s="6" t="s">
        <v>47</v>
      </c>
      <c r="M28" s="6"/>
      <c r="N28" s="6" t="s">
        <v>20</v>
      </c>
      <c r="O28" s="6"/>
      <c r="P28" s="6"/>
      <c r="Q28" s="6"/>
      <c r="R28" s="6"/>
    </row>
    <row r="29" ht="15.75" customHeight="1">
      <c r="A29" s="6" t="s">
        <v>222</v>
      </c>
      <c r="B29" s="6" t="s">
        <v>216</v>
      </c>
      <c r="C29" s="6" t="s">
        <v>217</v>
      </c>
      <c r="D29" s="6" t="s">
        <v>223</v>
      </c>
      <c r="E29" s="6" t="s">
        <v>40</v>
      </c>
      <c r="F29" s="6" t="s">
        <v>41</v>
      </c>
      <c r="G29" s="6" t="s">
        <v>111</v>
      </c>
      <c r="H29" s="6" t="s">
        <v>224</v>
      </c>
      <c r="I29" s="6" t="s">
        <v>225</v>
      </c>
      <c r="J29" s="6" t="s">
        <v>226</v>
      </c>
      <c r="K29" s="6" t="s">
        <v>46</v>
      </c>
      <c r="L29" s="6" t="s">
        <v>47</v>
      </c>
      <c r="M29" s="6"/>
      <c r="N29" s="6" t="s">
        <v>20</v>
      </c>
      <c r="O29" s="6"/>
      <c r="P29" s="6"/>
      <c r="Q29" s="6"/>
      <c r="R29" s="6"/>
    </row>
    <row r="30" ht="15.75" customHeight="1">
      <c r="A30" s="6" t="s">
        <v>227</v>
      </c>
      <c r="B30" s="6" t="s">
        <v>216</v>
      </c>
      <c r="C30" s="6" t="s">
        <v>217</v>
      </c>
      <c r="D30" s="6" t="s">
        <v>228</v>
      </c>
      <c r="E30" s="6" t="s">
        <v>40</v>
      </c>
      <c r="F30" s="6" t="s">
        <v>41</v>
      </c>
      <c r="G30" s="6" t="s">
        <v>111</v>
      </c>
      <c r="H30" s="6" t="s">
        <v>229</v>
      </c>
      <c r="I30" s="6" t="s">
        <v>230</v>
      </c>
      <c r="J30" s="6" t="s">
        <v>231</v>
      </c>
      <c r="K30" s="6" t="s">
        <v>46</v>
      </c>
      <c r="L30" s="6" t="s">
        <v>47</v>
      </c>
      <c r="M30" s="6"/>
      <c r="N30" s="6" t="s">
        <v>20</v>
      </c>
      <c r="O30" s="6"/>
      <c r="P30" s="6"/>
      <c r="Q30" s="6"/>
      <c r="R30" s="6"/>
    </row>
    <row r="31" ht="15.75" customHeight="1">
      <c r="A31" s="6" t="s">
        <v>232</v>
      </c>
      <c r="B31" s="6" t="s">
        <v>216</v>
      </c>
      <c r="C31" s="6" t="s">
        <v>217</v>
      </c>
      <c r="D31" s="6" t="s">
        <v>233</v>
      </c>
      <c r="E31" s="6" t="s">
        <v>40</v>
      </c>
      <c r="F31" s="6" t="s">
        <v>41</v>
      </c>
      <c r="G31" s="6" t="s">
        <v>111</v>
      </c>
      <c r="H31" s="6" t="s">
        <v>234</v>
      </c>
      <c r="I31" s="6" t="s">
        <v>235</v>
      </c>
      <c r="J31" s="6" t="s">
        <v>236</v>
      </c>
      <c r="K31" s="6" t="s">
        <v>46</v>
      </c>
      <c r="L31" s="6" t="s">
        <v>47</v>
      </c>
      <c r="M31" s="6"/>
      <c r="N31" s="6" t="s">
        <v>20</v>
      </c>
      <c r="O31" s="6"/>
      <c r="P31" s="6"/>
      <c r="Q31" s="6"/>
      <c r="R31" s="6"/>
    </row>
    <row r="32" ht="15.75" customHeight="1">
      <c r="A32" s="6" t="s">
        <v>237</v>
      </c>
      <c r="B32" s="6" t="s">
        <v>216</v>
      </c>
      <c r="C32" s="6" t="s">
        <v>217</v>
      </c>
      <c r="D32" s="6" t="s">
        <v>238</v>
      </c>
      <c r="E32" s="6" t="s">
        <v>40</v>
      </c>
      <c r="F32" s="6" t="s">
        <v>41</v>
      </c>
      <c r="G32" s="6" t="s">
        <v>111</v>
      </c>
      <c r="H32" s="6" t="s">
        <v>239</v>
      </c>
      <c r="I32" s="6" t="s">
        <v>240</v>
      </c>
      <c r="J32" s="6" t="s">
        <v>241</v>
      </c>
      <c r="K32" s="6" t="s">
        <v>46</v>
      </c>
      <c r="L32" s="6" t="s">
        <v>115</v>
      </c>
      <c r="M32" s="6"/>
      <c r="N32" s="6" t="s">
        <v>20</v>
      </c>
      <c r="O32" s="6"/>
      <c r="P32" s="6"/>
      <c r="Q32" s="6"/>
      <c r="R32" s="6"/>
    </row>
    <row r="33" ht="15.75" customHeight="1">
      <c r="A33" s="6" t="s">
        <v>242</v>
      </c>
      <c r="B33" s="6" t="s">
        <v>243</v>
      </c>
      <c r="C33" s="6" t="s">
        <v>244</v>
      </c>
      <c r="D33" s="6" t="s">
        <v>245</v>
      </c>
      <c r="E33" s="6" t="s">
        <v>110</v>
      </c>
      <c r="F33" s="6" t="s">
        <v>66</v>
      </c>
      <c r="G33" s="6" t="s">
        <v>246</v>
      </c>
      <c r="H33" s="6" t="s">
        <v>247</v>
      </c>
      <c r="I33" s="6" t="s">
        <v>77</v>
      </c>
      <c r="J33" s="6" t="s">
        <v>248</v>
      </c>
      <c r="K33" s="6" t="s">
        <v>46</v>
      </c>
      <c r="L33" s="6" t="s">
        <v>47</v>
      </c>
      <c r="M33" s="6"/>
      <c r="N33" s="6" t="s">
        <v>20</v>
      </c>
      <c r="O33" s="6"/>
      <c r="P33" s="6"/>
      <c r="Q33" s="6"/>
      <c r="R33" s="6"/>
    </row>
    <row r="34" ht="15.75" customHeight="1">
      <c r="A34" s="6" t="s">
        <v>249</v>
      </c>
      <c r="B34" s="6" t="s">
        <v>243</v>
      </c>
      <c r="C34" s="6" t="s">
        <v>244</v>
      </c>
      <c r="D34" s="6" t="s">
        <v>250</v>
      </c>
      <c r="E34" s="6" t="s">
        <v>110</v>
      </c>
      <c r="F34" s="6" t="s">
        <v>66</v>
      </c>
      <c r="G34" s="6" t="s">
        <v>246</v>
      </c>
      <c r="H34" s="6" t="s">
        <v>251</v>
      </c>
      <c r="I34" s="6" t="s">
        <v>252</v>
      </c>
      <c r="J34" s="6" t="s">
        <v>253</v>
      </c>
      <c r="K34" s="6" t="s">
        <v>46</v>
      </c>
      <c r="L34" s="6" t="s">
        <v>47</v>
      </c>
      <c r="M34" s="6"/>
      <c r="N34" s="6" t="s">
        <v>20</v>
      </c>
      <c r="O34" s="6"/>
      <c r="P34" s="6"/>
      <c r="Q34" s="6"/>
      <c r="R34" s="6"/>
    </row>
    <row r="35" ht="15.75" customHeight="1">
      <c r="A35" s="6" t="s">
        <v>254</v>
      </c>
      <c r="B35" s="6" t="s">
        <v>243</v>
      </c>
      <c r="C35" s="6" t="s">
        <v>244</v>
      </c>
      <c r="D35" s="6" t="s">
        <v>255</v>
      </c>
      <c r="E35" s="6" t="s">
        <v>110</v>
      </c>
      <c r="F35" s="6" t="s">
        <v>41</v>
      </c>
      <c r="G35" s="6" t="s">
        <v>111</v>
      </c>
      <c r="H35" s="6" t="s">
        <v>256</v>
      </c>
      <c r="I35" s="6" t="s">
        <v>77</v>
      </c>
      <c r="J35" s="6" t="s">
        <v>257</v>
      </c>
      <c r="K35" s="6" t="s">
        <v>46</v>
      </c>
      <c r="L35" s="6" t="s">
        <v>115</v>
      </c>
      <c r="M35" s="6"/>
      <c r="N35" s="6" t="s">
        <v>20</v>
      </c>
      <c r="O35" s="6"/>
      <c r="P35" s="6"/>
      <c r="Q35" s="6"/>
      <c r="R35" s="6"/>
    </row>
    <row r="36" ht="15.75" customHeight="1">
      <c r="A36" s="6" t="s">
        <v>258</v>
      </c>
      <c r="B36" s="6" t="s">
        <v>243</v>
      </c>
      <c r="C36" s="6" t="s">
        <v>244</v>
      </c>
      <c r="D36" s="6" t="s">
        <v>259</v>
      </c>
      <c r="E36" s="6" t="s">
        <v>178</v>
      </c>
      <c r="F36" s="6" t="s">
        <v>83</v>
      </c>
      <c r="G36" s="6" t="s">
        <v>84</v>
      </c>
      <c r="H36" s="6" t="s">
        <v>260</v>
      </c>
      <c r="I36" s="6" t="s">
        <v>261</v>
      </c>
      <c r="J36" s="6" t="s">
        <v>262</v>
      </c>
      <c r="K36" s="6" t="s">
        <v>46</v>
      </c>
      <c r="L36" s="6" t="s">
        <v>115</v>
      </c>
      <c r="M36" s="6"/>
      <c r="N36" s="6" t="s">
        <v>20</v>
      </c>
      <c r="O36" s="6"/>
      <c r="P36" s="6"/>
      <c r="Q36" s="6"/>
      <c r="R36" s="6"/>
    </row>
    <row r="37" ht="15.75" customHeight="1">
      <c r="A37" s="6" t="s">
        <v>263</v>
      </c>
      <c r="B37" s="6" t="s">
        <v>264</v>
      </c>
      <c r="C37" s="6" t="s">
        <v>265</v>
      </c>
      <c r="D37" s="6" t="s">
        <v>266</v>
      </c>
      <c r="E37" s="6" t="s">
        <v>40</v>
      </c>
      <c r="F37" s="6" t="s">
        <v>41</v>
      </c>
      <c r="G37" s="6" t="s">
        <v>111</v>
      </c>
      <c r="H37" s="6" t="s">
        <v>267</v>
      </c>
      <c r="I37" s="6" t="s">
        <v>77</v>
      </c>
      <c r="J37" s="6" t="s">
        <v>268</v>
      </c>
      <c r="K37" s="6" t="s">
        <v>46</v>
      </c>
      <c r="L37" s="6" t="s">
        <v>47</v>
      </c>
      <c r="M37" s="6"/>
      <c r="N37" s="6" t="s">
        <v>20</v>
      </c>
      <c r="O37" s="6"/>
      <c r="P37" s="6"/>
      <c r="Q37" s="6"/>
      <c r="R37" s="6"/>
    </row>
    <row r="38" ht="15.75" customHeight="1">
      <c r="A38" s="6" t="s">
        <v>269</v>
      </c>
      <c r="B38" s="6" t="s">
        <v>264</v>
      </c>
      <c r="C38" s="6" t="s">
        <v>265</v>
      </c>
      <c r="D38" s="6" t="s">
        <v>270</v>
      </c>
      <c r="E38" s="6" t="s">
        <v>40</v>
      </c>
      <c r="F38" s="6" t="s">
        <v>41</v>
      </c>
      <c r="G38" s="6" t="s">
        <v>111</v>
      </c>
      <c r="H38" s="6" t="s">
        <v>271</v>
      </c>
      <c r="I38" s="6" t="s">
        <v>77</v>
      </c>
      <c r="J38" s="6" t="s">
        <v>268</v>
      </c>
      <c r="K38" s="6" t="s">
        <v>46</v>
      </c>
      <c r="L38" s="6" t="s">
        <v>47</v>
      </c>
      <c r="M38" s="6"/>
      <c r="N38" s="6" t="s">
        <v>20</v>
      </c>
      <c r="O38" s="6"/>
      <c r="P38" s="6"/>
      <c r="Q38" s="6"/>
      <c r="R38" s="6"/>
    </row>
    <row r="39" ht="15.75" customHeight="1">
      <c r="A39" s="6" t="s">
        <v>272</v>
      </c>
      <c r="B39" s="6" t="s">
        <v>264</v>
      </c>
      <c r="C39" s="6" t="s">
        <v>265</v>
      </c>
      <c r="D39" s="6" t="s">
        <v>273</v>
      </c>
      <c r="E39" s="6" t="s">
        <v>40</v>
      </c>
      <c r="F39" s="6" t="s">
        <v>41</v>
      </c>
      <c r="G39" s="6" t="s">
        <v>111</v>
      </c>
      <c r="H39" s="6" t="s">
        <v>274</v>
      </c>
      <c r="I39" s="6" t="s">
        <v>77</v>
      </c>
      <c r="J39" s="6" t="s">
        <v>268</v>
      </c>
      <c r="K39" s="6" t="s">
        <v>46</v>
      </c>
      <c r="L39" s="6" t="s">
        <v>47</v>
      </c>
      <c r="M39" s="6"/>
      <c r="N39" s="6" t="s">
        <v>20</v>
      </c>
      <c r="O39" s="6"/>
      <c r="P39" s="6"/>
      <c r="Q39" s="6"/>
      <c r="R39" s="6"/>
    </row>
    <row r="40" ht="15.75" customHeight="1">
      <c r="A40" s="6" t="s">
        <v>275</v>
      </c>
      <c r="B40" s="6" t="s">
        <v>264</v>
      </c>
      <c r="C40" s="6" t="s">
        <v>265</v>
      </c>
      <c r="D40" s="6" t="s">
        <v>276</v>
      </c>
      <c r="E40" s="6" t="s">
        <v>40</v>
      </c>
      <c r="F40" s="6" t="s">
        <v>41</v>
      </c>
      <c r="G40" s="6" t="s">
        <v>111</v>
      </c>
      <c r="H40" s="6" t="s">
        <v>277</v>
      </c>
      <c r="I40" s="6" t="s">
        <v>77</v>
      </c>
      <c r="J40" s="6" t="s">
        <v>268</v>
      </c>
      <c r="K40" s="6" t="s">
        <v>46</v>
      </c>
      <c r="L40" s="6" t="s">
        <v>115</v>
      </c>
      <c r="M40" s="6"/>
      <c r="N40" s="6" t="s">
        <v>20</v>
      </c>
      <c r="O40" s="6"/>
      <c r="P40" s="6"/>
      <c r="Q40" s="6"/>
      <c r="R40" s="6"/>
    </row>
    <row r="41" ht="15.75" customHeight="1">
      <c r="A41" s="6" t="s">
        <v>278</v>
      </c>
      <c r="B41" s="6" t="s">
        <v>264</v>
      </c>
      <c r="C41" s="6" t="s">
        <v>265</v>
      </c>
      <c r="D41" s="6" t="s">
        <v>279</v>
      </c>
      <c r="E41" s="6" t="s">
        <v>110</v>
      </c>
      <c r="F41" s="6" t="s">
        <v>66</v>
      </c>
      <c r="G41" s="6" t="s">
        <v>246</v>
      </c>
      <c r="H41" s="6" t="s">
        <v>280</v>
      </c>
      <c r="I41" s="6" t="s">
        <v>77</v>
      </c>
      <c r="J41" s="6" t="s">
        <v>281</v>
      </c>
      <c r="K41" s="6" t="s">
        <v>46</v>
      </c>
      <c r="L41" s="6" t="s">
        <v>115</v>
      </c>
      <c r="M41" s="6"/>
      <c r="N41" s="6" t="s">
        <v>20</v>
      </c>
      <c r="O41" s="6"/>
      <c r="P41" s="6"/>
      <c r="Q41" s="6"/>
      <c r="R41" s="6"/>
    </row>
    <row r="42" ht="15.75" customHeight="1">
      <c r="A42" s="6" t="s">
        <v>282</v>
      </c>
      <c r="B42" s="6" t="s">
        <v>283</v>
      </c>
      <c r="C42" s="6" t="s">
        <v>284</v>
      </c>
      <c r="D42" s="6" t="s">
        <v>285</v>
      </c>
      <c r="E42" s="6" t="s">
        <v>40</v>
      </c>
      <c r="F42" s="6" t="s">
        <v>41</v>
      </c>
      <c r="G42" s="6" t="s">
        <v>286</v>
      </c>
      <c r="H42" s="6" t="s">
        <v>287</v>
      </c>
      <c r="I42" s="6" t="s">
        <v>77</v>
      </c>
      <c r="J42" s="6" t="s">
        <v>288</v>
      </c>
      <c r="K42" s="6" t="s">
        <v>46</v>
      </c>
      <c r="L42" s="6" t="s">
        <v>47</v>
      </c>
      <c r="M42" s="6"/>
      <c r="N42" s="6" t="s">
        <v>20</v>
      </c>
      <c r="O42" s="6"/>
      <c r="P42" s="6"/>
      <c r="Q42" s="6"/>
      <c r="R42" s="6"/>
    </row>
    <row r="43" ht="15.75" customHeight="1">
      <c r="A43" s="6" t="s">
        <v>289</v>
      </c>
      <c r="B43" s="6" t="s">
        <v>283</v>
      </c>
      <c r="C43" s="6" t="s">
        <v>284</v>
      </c>
      <c r="D43" s="6" t="s">
        <v>290</v>
      </c>
      <c r="E43" s="6" t="s">
        <v>40</v>
      </c>
      <c r="F43" s="6" t="s">
        <v>41</v>
      </c>
      <c r="G43" s="6" t="s">
        <v>291</v>
      </c>
      <c r="H43" s="6" t="s">
        <v>292</v>
      </c>
      <c r="I43" s="6" t="s">
        <v>77</v>
      </c>
      <c r="J43" s="6" t="s">
        <v>293</v>
      </c>
      <c r="K43" s="6" t="s">
        <v>46</v>
      </c>
      <c r="L43" s="6" t="s">
        <v>47</v>
      </c>
      <c r="M43" s="6"/>
      <c r="N43" s="6" t="s">
        <v>20</v>
      </c>
      <c r="O43" s="6"/>
      <c r="P43" s="6"/>
      <c r="Q43" s="6"/>
      <c r="R43" s="6"/>
    </row>
    <row r="44" ht="15.75" customHeight="1">
      <c r="A44" s="6" t="s">
        <v>294</v>
      </c>
      <c r="B44" s="6" t="s">
        <v>283</v>
      </c>
      <c r="C44" s="6" t="s">
        <v>284</v>
      </c>
      <c r="D44" s="6" t="s">
        <v>295</v>
      </c>
      <c r="E44" s="6" t="s">
        <v>40</v>
      </c>
      <c r="F44" s="6" t="s">
        <v>89</v>
      </c>
      <c r="G44" s="6" t="s">
        <v>296</v>
      </c>
      <c r="H44" s="6" t="s">
        <v>297</v>
      </c>
      <c r="I44" s="6" t="s">
        <v>77</v>
      </c>
      <c r="J44" s="6" t="s">
        <v>298</v>
      </c>
      <c r="K44" s="6" t="s">
        <v>46</v>
      </c>
      <c r="L44" s="6" t="s">
        <v>47</v>
      </c>
      <c r="M44" s="6"/>
      <c r="N44" s="6" t="s">
        <v>20</v>
      </c>
      <c r="O44" s="6"/>
      <c r="P44" s="6"/>
      <c r="Q44" s="6"/>
      <c r="R44" s="6"/>
    </row>
    <row r="45" ht="15.75" customHeight="1">
      <c r="A45" s="6" t="s">
        <v>299</v>
      </c>
      <c r="B45" s="6" t="s">
        <v>283</v>
      </c>
      <c r="C45" s="6" t="s">
        <v>284</v>
      </c>
      <c r="D45" s="6" t="s">
        <v>300</v>
      </c>
      <c r="E45" s="6" t="s">
        <v>40</v>
      </c>
      <c r="F45" s="6" t="s">
        <v>41</v>
      </c>
      <c r="G45" s="6" t="s">
        <v>301</v>
      </c>
      <c r="H45" s="6" t="s">
        <v>297</v>
      </c>
      <c r="I45" s="6" t="s">
        <v>77</v>
      </c>
      <c r="J45" s="6" t="s">
        <v>302</v>
      </c>
      <c r="K45" s="6" t="s">
        <v>46</v>
      </c>
      <c r="L45" s="6" t="s">
        <v>115</v>
      </c>
      <c r="M45" s="6"/>
      <c r="N45" s="6" t="s">
        <v>20</v>
      </c>
      <c r="O45" s="6"/>
      <c r="P45" s="6"/>
      <c r="Q45" s="6"/>
      <c r="R45" s="6"/>
    </row>
    <row r="46" ht="15.75" customHeight="1">
      <c r="A46" s="6" t="s">
        <v>303</v>
      </c>
      <c r="B46" s="6" t="s">
        <v>304</v>
      </c>
      <c r="C46" s="6" t="s">
        <v>305</v>
      </c>
      <c r="D46" s="6" t="s">
        <v>306</v>
      </c>
      <c r="E46" s="6" t="s">
        <v>40</v>
      </c>
      <c r="F46" s="6" t="s">
        <v>41</v>
      </c>
      <c r="G46" s="6" t="s">
        <v>307</v>
      </c>
      <c r="H46" s="6" t="s">
        <v>308</v>
      </c>
      <c r="I46" s="6" t="s">
        <v>77</v>
      </c>
      <c r="J46" s="6" t="s">
        <v>309</v>
      </c>
      <c r="K46" s="6" t="s">
        <v>310</v>
      </c>
      <c r="L46" s="6" t="s">
        <v>115</v>
      </c>
      <c r="M46" s="6"/>
      <c r="N46" s="6" t="s">
        <v>20</v>
      </c>
      <c r="O46" s="6"/>
      <c r="P46" s="6"/>
      <c r="Q46" s="6"/>
      <c r="R46" s="6"/>
    </row>
    <row r="47" ht="15.75" customHeight="1">
      <c r="A47" s="6" t="s">
        <v>311</v>
      </c>
      <c r="B47" s="6" t="s">
        <v>304</v>
      </c>
      <c r="C47" s="6" t="s">
        <v>305</v>
      </c>
      <c r="D47" s="6" t="s">
        <v>312</v>
      </c>
      <c r="E47" s="6" t="s">
        <v>40</v>
      </c>
      <c r="F47" s="6" t="s">
        <v>41</v>
      </c>
      <c r="G47" s="6" t="s">
        <v>313</v>
      </c>
      <c r="H47" s="6" t="s">
        <v>314</v>
      </c>
      <c r="I47" s="6" t="s">
        <v>77</v>
      </c>
      <c r="J47" s="6" t="s">
        <v>315</v>
      </c>
      <c r="K47" s="6" t="s">
        <v>310</v>
      </c>
      <c r="L47" s="6" t="s">
        <v>47</v>
      </c>
      <c r="M47" s="6"/>
      <c r="N47" s="6" t="s">
        <v>20</v>
      </c>
      <c r="O47" s="6"/>
      <c r="P47" s="6"/>
      <c r="Q47" s="6"/>
      <c r="R47" s="6"/>
    </row>
    <row r="48" ht="15.75" customHeight="1">
      <c r="A48" s="6" t="s">
        <v>316</v>
      </c>
      <c r="B48" s="6" t="s">
        <v>304</v>
      </c>
      <c r="C48" s="6" t="s">
        <v>305</v>
      </c>
      <c r="D48" s="6" t="s">
        <v>317</v>
      </c>
      <c r="E48" s="6" t="s">
        <v>40</v>
      </c>
      <c r="F48" s="6" t="s">
        <v>41</v>
      </c>
      <c r="G48" s="6" t="s">
        <v>318</v>
      </c>
      <c r="H48" s="6" t="s">
        <v>319</v>
      </c>
      <c r="I48" s="6" t="s">
        <v>77</v>
      </c>
      <c r="J48" s="6" t="s">
        <v>320</v>
      </c>
      <c r="K48" s="6" t="s">
        <v>46</v>
      </c>
      <c r="L48" s="6" t="s">
        <v>47</v>
      </c>
      <c r="M48" s="6"/>
      <c r="N48" s="6" t="s">
        <v>20</v>
      </c>
      <c r="O48" s="6"/>
      <c r="P48" s="6"/>
      <c r="Q48" s="6"/>
      <c r="R48" s="6"/>
    </row>
    <row r="49" ht="15.75" customHeight="1">
      <c r="A49" s="6" t="s">
        <v>321</v>
      </c>
      <c r="B49" s="6" t="s">
        <v>304</v>
      </c>
      <c r="C49" s="6" t="s">
        <v>305</v>
      </c>
      <c r="D49" s="6" t="s">
        <v>322</v>
      </c>
      <c r="E49" s="6" t="s">
        <v>40</v>
      </c>
      <c r="F49" s="6" t="s">
        <v>41</v>
      </c>
      <c r="G49" s="6" t="s">
        <v>323</v>
      </c>
      <c r="H49" s="6" t="s">
        <v>324</v>
      </c>
      <c r="I49" s="6" t="s">
        <v>77</v>
      </c>
      <c r="J49" s="6" t="s">
        <v>325</v>
      </c>
      <c r="K49" s="6" t="s">
        <v>46</v>
      </c>
      <c r="L49" s="6" t="s">
        <v>115</v>
      </c>
      <c r="M49" s="6"/>
      <c r="N49" s="6" t="s">
        <v>20</v>
      </c>
      <c r="O49" s="6"/>
      <c r="P49" s="6"/>
      <c r="Q49" s="6"/>
      <c r="R49" s="6"/>
    </row>
    <row r="50" ht="15.75" customHeight="1">
      <c r="A50" s="6" t="s">
        <v>326</v>
      </c>
      <c r="B50" s="6" t="s">
        <v>304</v>
      </c>
      <c r="C50" s="6" t="s">
        <v>305</v>
      </c>
      <c r="D50" s="6" t="s">
        <v>327</v>
      </c>
      <c r="E50" s="6" t="s">
        <v>40</v>
      </c>
      <c r="F50" s="6" t="s">
        <v>41</v>
      </c>
      <c r="G50" s="6" t="s">
        <v>328</v>
      </c>
      <c r="H50" s="6" t="s">
        <v>329</v>
      </c>
      <c r="I50" s="6" t="s">
        <v>330</v>
      </c>
      <c r="J50" s="6" t="s">
        <v>331</v>
      </c>
      <c r="K50" s="6" t="s">
        <v>46</v>
      </c>
      <c r="L50" s="6" t="s">
        <v>47</v>
      </c>
      <c r="M50" s="6"/>
      <c r="N50" s="6" t="s">
        <v>20</v>
      </c>
      <c r="O50" s="6"/>
      <c r="P50" s="6"/>
      <c r="Q50" s="6"/>
      <c r="R50" s="6"/>
    </row>
    <row r="51" ht="15.75" customHeight="1">
      <c r="A51" s="6" t="s">
        <v>332</v>
      </c>
      <c r="B51" s="6" t="s">
        <v>333</v>
      </c>
      <c r="C51" s="6" t="s">
        <v>334</v>
      </c>
      <c r="D51" s="6" t="s">
        <v>335</v>
      </c>
      <c r="E51" s="6" t="s">
        <v>40</v>
      </c>
      <c r="F51" s="6" t="s">
        <v>41</v>
      </c>
      <c r="G51" s="6" t="s">
        <v>336</v>
      </c>
      <c r="H51" s="6" t="s">
        <v>337</v>
      </c>
      <c r="I51" s="6" t="s">
        <v>338</v>
      </c>
      <c r="J51" s="6" t="s">
        <v>339</v>
      </c>
      <c r="K51" s="6" t="s">
        <v>46</v>
      </c>
      <c r="L51" s="6" t="s">
        <v>47</v>
      </c>
      <c r="M51" s="6"/>
      <c r="N51" s="6" t="s">
        <v>20</v>
      </c>
      <c r="O51" s="6"/>
      <c r="P51" s="6"/>
      <c r="Q51" s="6"/>
      <c r="R51" s="6"/>
    </row>
    <row r="52" ht="15.75" customHeight="1">
      <c r="A52" s="6" t="s">
        <v>340</v>
      </c>
      <c r="B52" s="6" t="s">
        <v>333</v>
      </c>
      <c r="C52" s="6" t="s">
        <v>334</v>
      </c>
      <c r="D52" s="6" t="s">
        <v>341</v>
      </c>
      <c r="E52" s="6" t="s">
        <v>40</v>
      </c>
      <c r="F52" s="6" t="s">
        <v>41</v>
      </c>
      <c r="G52" s="6" t="s">
        <v>342</v>
      </c>
      <c r="H52" s="6" t="s">
        <v>343</v>
      </c>
      <c r="I52" s="6" t="s">
        <v>77</v>
      </c>
      <c r="J52" s="6" t="s">
        <v>344</v>
      </c>
      <c r="K52" s="6" t="s">
        <v>46</v>
      </c>
      <c r="L52" s="6" t="s">
        <v>47</v>
      </c>
      <c r="M52" s="6"/>
      <c r="N52" s="6" t="s">
        <v>20</v>
      </c>
      <c r="O52" s="6"/>
      <c r="P52" s="6"/>
      <c r="Q52" s="6"/>
      <c r="R52" s="6"/>
    </row>
    <row r="53" ht="15.75" customHeight="1">
      <c r="A53" s="6" t="s">
        <v>345</v>
      </c>
      <c r="B53" s="6" t="s">
        <v>333</v>
      </c>
      <c r="C53" s="6" t="s">
        <v>334</v>
      </c>
      <c r="D53" s="6" t="s">
        <v>346</v>
      </c>
      <c r="E53" s="6" t="s">
        <v>40</v>
      </c>
      <c r="F53" s="6" t="s">
        <v>41</v>
      </c>
      <c r="G53" s="6" t="s">
        <v>342</v>
      </c>
      <c r="H53" s="6" t="s">
        <v>347</v>
      </c>
      <c r="I53" s="6" t="s">
        <v>348</v>
      </c>
      <c r="J53" s="6" t="s">
        <v>349</v>
      </c>
      <c r="K53" s="6" t="s">
        <v>46</v>
      </c>
      <c r="L53" s="6" t="s">
        <v>47</v>
      </c>
      <c r="M53" s="6"/>
      <c r="N53" s="6" t="s">
        <v>20</v>
      </c>
      <c r="O53" s="6"/>
      <c r="P53" s="6"/>
      <c r="Q53" s="6"/>
      <c r="R53" s="6"/>
    </row>
    <row r="54" ht="15.75" customHeight="1">
      <c r="A54" s="6" t="s">
        <v>350</v>
      </c>
      <c r="B54" s="6" t="s">
        <v>333</v>
      </c>
      <c r="C54" s="6" t="s">
        <v>334</v>
      </c>
      <c r="D54" s="6" t="s">
        <v>351</v>
      </c>
      <c r="E54" s="6" t="s">
        <v>40</v>
      </c>
      <c r="F54" s="6" t="s">
        <v>41</v>
      </c>
      <c r="G54" s="6" t="s">
        <v>352</v>
      </c>
      <c r="H54" s="6" t="s">
        <v>353</v>
      </c>
      <c r="I54" s="6" t="s">
        <v>77</v>
      </c>
      <c r="J54" s="6" t="s">
        <v>354</v>
      </c>
      <c r="K54" s="6" t="s">
        <v>46</v>
      </c>
      <c r="L54" s="6" t="s">
        <v>115</v>
      </c>
      <c r="M54" s="6"/>
      <c r="N54" s="6" t="s">
        <v>20</v>
      </c>
      <c r="O54" s="6"/>
      <c r="P54" s="6"/>
      <c r="Q54" s="6"/>
      <c r="R54" s="6"/>
    </row>
    <row r="55" ht="15.75" customHeight="1">
      <c r="A55" s="6" t="s">
        <v>355</v>
      </c>
      <c r="B55" s="6" t="s">
        <v>333</v>
      </c>
      <c r="C55" s="6" t="s">
        <v>334</v>
      </c>
      <c r="D55" s="6" t="s">
        <v>356</v>
      </c>
      <c r="E55" s="6" t="s">
        <v>178</v>
      </c>
      <c r="F55" s="6" t="s">
        <v>83</v>
      </c>
      <c r="G55" s="6" t="s">
        <v>84</v>
      </c>
      <c r="H55" s="6" t="s">
        <v>357</v>
      </c>
      <c r="I55" s="6" t="s">
        <v>77</v>
      </c>
      <c r="J55" s="6" t="s">
        <v>358</v>
      </c>
      <c r="K55" s="6" t="s">
        <v>46</v>
      </c>
      <c r="L55" s="6" t="s">
        <v>115</v>
      </c>
      <c r="M55" s="6"/>
      <c r="N55" s="6" t="s">
        <v>20</v>
      </c>
      <c r="O55" s="6"/>
      <c r="P55" s="6"/>
      <c r="Q55" s="6"/>
      <c r="R55" s="6"/>
    </row>
    <row r="56" ht="15.75" customHeight="1">
      <c r="A56" s="6" t="s">
        <v>359</v>
      </c>
      <c r="B56" s="6" t="s">
        <v>360</v>
      </c>
      <c r="C56" s="6" t="s">
        <v>361</v>
      </c>
      <c r="D56" s="6" t="s">
        <v>362</v>
      </c>
      <c r="E56" s="6" t="s">
        <v>40</v>
      </c>
      <c r="F56" s="6" t="s">
        <v>41</v>
      </c>
      <c r="G56" s="6" t="s">
        <v>363</v>
      </c>
      <c r="H56" s="6" t="s">
        <v>364</v>
      </c>
      <c r="I56" s="6" t="s">
        <v>77</v>
      </c>
      <c r="J56" s="6" t="s">
        <v>365</v>
      </c>
      <c r="K56" s="6" t="s">
        <v>46</v>
      </c>
      <c r="L56" s="6" t="s">
        <v>47</v>
      </c>
      <c r="M56" s="6"/>
      <c r="N56" s="6" t="s">
        <v>20</v>
      </c>
      <c r="O56" s="6"/>
      <c r="P56" s="6"/>
      <c r="Q56" s="6"/>
      <c r="R56" s="6"/>
    </row>
    <row r="57" ht="15.75" customHeight="1">
      <c r="A57" s="6" t="s">
        <v>366</v>
      </c>
      <c r="B57" s="6" t="s">
        <v>360</v>
      </c>
      <c r="C57" s="6" t="s">
        <v>361</v>
      </c>
      <c r="D57" s="6" t="s">
        <v>367</v>
      </c>
      <c r="E57" s="6" t="s">
        <v>40</v>
      </c>
      <c r="F57" s="6" t="s">
        <v>41</v>
      </c>
      <c r="G57" s="6" t="s">
        <v>368</v>
      </c>
      <c r="H57" s="6" t="s">
        <v>369</v>
      </c>
      <c r="I57" s="6" t="s">
        <v>77</v>
      </c>
      <c r="J57" s="6" t="s">
        <v>370</v>
      </c>
      <c r="K57" s="6" t="s">
        <v>46</v>
      </c>
      <c r="L57" s="6" t="s">
        <v>47</v>
      </c>
      <c r="M57" s="6"/>
      <c r="N57" s="6" t="s">
        <v>20</v>
      </c>
      <c r="O57" s="6"/>
      <c r="P57" s="6"/>
      <c r="Q57" s="6"/>
      <c r="R57" s="6"/>
    </row>
    <row r="58" ht="15.75" customHeight="1">
      <c r="A58" s="6" t="s">
        <v>371</v>
      </c>
      <c r="B58" s="6" t="s">
        <v>360</v>
      </c>
      <c r="C58" s="6" t="s">
        <v>361</v>
      </c>
      <c r="D58" s="6" t="s">
        <v>372</v>
      </c>
      <c r="E58" s="6" t="s">
        <v>40</v>
      </c>
      <c r="F58" s="6" t="s">
        <v>41</v>
      </c>
      <c r="G58" s="6" t="s">
        <v>373</v>
      </c>
      <c r="H58" s="6" t="s">
        <v>374</v>
      </c>
      <c r="I58" s="6" t="s">
        <v>77</v>
      </c>
      <c r="J58" s="6" t="s">
        <v>375</v>
      </c>
      <c r="K58" s="6" t="s">
        <v>46</v>
      </c>
      <c r="L58" s="6" t="s">
        <v>115</v>
      </c>
      <c r="M58" s="6"/>
      <c r="N58" s="6" t="s">
        <v>20</v>
      </c>
      <c r="O58" s="6"/>
      <c r="P58" s="6"/>
      <c r="Q58" s="6"/>
      <c r="R58" s="6"/>
    </row>
    <row r="59" ht="15.75" customHeight="1">
      <c r="A59" s="6" t="s">
        <v>376</v>
      </c>
      <c r="B59" s="6" t="s">
        <v>360</v>
      </c>
      <c r="C59" s="6" t="s">
        <v>361</v>
      </c>
      <c r="D59" s="6" t="s">
        <v>377</v>
      </c>
      <c r="E59" s="6" t="s">
        <v>40</v>
      </c>
      <c r="F59" s="6" t="s">
        <v>41</v>
      </c>
      <c r="G59" s="6" t="s">
        <v>378</v>
      </c>
      <c r="H59" s="6" t="s">
        <v>379</v>
      </c>
      <c r="I59" s="6" t="s">
        <v>77</v>
      </c>
      <c r="J59" s="6" t="s">
        <v>380</v>
      </c>
      <c r="K59" s="6" t="s">
        <v>46</v>
      </c>
      <c r="L59" s="6" t="s">
        <v>115</v>
      </c>
      <c r="M59" s="6"/>
      <c r="N59" s="6" t="s">
        <v>20</v>
      </c>
      <c r="O59" s="6"/>
      <c r="P59" s="6"/>
      <c r="Q59" s="6"/>
      <c r="R59" s="6"/>
    </row>
    <row r="60" ht="15.75" customHeight="1">
      <c r="A60" s="6" t="s">
        <v>381</v>
      </c>
      <c r="B60" s="6" t="s">
        <v>360</v>
      </c>
      <c r="C60" s="6" t="s">
        <v>361</v>
      </c>
      <c r="D60" s="6" t="s">
        <v>382</v>
      </c>
      <c r="E60" s="6" t="s">
        <v>40</v>
      </c>
      <c r="F60" s="6" t="s">
        <v>41</v>
      </c>
      <c r="G60" s="6" t="s">
        <v>383</v>
      </c>
      <c r="H60" s="6" t="s">
        <v>384</v>
      </c>
      <c r="I60" s="6" t="s">
        <v>77</v>
      </c>
      <c r="J60" s="6" t="s">
        <v>385</v>
      </c>
      <c r="K60" s="6" t="s">
        <v>46</v>
      </c>
      <c r="L60" s="6" t="s">
        <v>115</v>
      </c>
      <c r="M60" s="6"/>
      <c r="N60" s="6" t="s">
        <v>20</v>
      </c>
      <c r="O60" s="6"/>
      <c r="P60" s="6"/>
      <c r="Q60" s="6"/>
      <c r="R60" s="6"/>
    </row>
    <row r="61" ht="15.75" customHeight="1">
      <c r="A61" s="6" t="s">
        <v>386</v>
      </c>
      <c r="B61" s="6" t="s">
        <v>387</v>
      </c>
      <c r="C61" s="6" t="s">
        <v>388</v>
      </c>
      <c r="D61" s="6" t="s">
        <v>389</v>
      </c>
      <c r="E61" s="6" t="s">
        <v>40</v>
      </c>
      <c r="F61" s="6" t="s">
        <v>41</v>
      </c>
      <c r="G61" s="6" t="s">
        <v>390</v>
      </c>
      <c r="H61" s="6" t="s">
        <v>391</v>
      </c>
      <c r="I61" s="6" t="s">
        <v>392</v>
      </c>
      <c r="J61" s="6" t="s">
        <v>393</v>
      </c>
      <c r="K61" s="6" t="s">
        <v>46</v>
      </c>
      <c r="L61" s="6" t="s">
        <v>115</v>
      </c>
      <c r="M61" s="6"/>
      <c r="N61" s="6" t="s">
        <v>20</v>
      </c>
      <c r="O61" s="6"/>
      <c r="P61" s="6"/>
      <c r="Q61" s="6"/>
      <c r="R61" s="6"/>
    </row>
    <row r="62" ht="15.75" customHeight="1">
      <c r="A62" s="6" t="s">
        <v>394</v>
      </c>
      <c r="B62" s="6" t="s">
        <v>387</v>
      </c>
      <c r="C62" s="6" t="s">
        <v>388</v>
      </c>
      <c r="D62" s="6" t="s">
        <v>395</v>
      </c>
      <c r="E62" s="6" t="s">
        <v>40</v>
      </c>
      <c r="F62" s="6" t="s">
        <v>41</v>
      </c>
      <c r="G62" s="6" t="s">
        <v>111</v>
      </c>
      <c r="H62" s="6" t="s">
        <v>396</v>
      </c>
      <c r="I62" s="6" t="s">
        <v>77</v>
      </c>
      <c r="J62" s="6" t="s">
        <v>397</v>
      </c>
      <c r="K62" s="6" t="s">
        <v>46</v>
      </c>
      <c r="L62" s="6" t="s">
        <v>398</v>
      </c>
      <c r="M62" s="6"/>
      <c r="N62" s="6" t="s">
        <v>20</v>
      </c>
      <c r="O62" s="6"/>
      <c r="P62" s="6"/>
      <c r="Q62" s="6"/>
      <c r="R62" s="6"/>
    </row>
    <row r="63" ht="15.75" customHeight="1">
      <c r="A63" s="6" t="s">
        <v>399</v>
      </c>
      <c r="B63" s="6" t="s">
        <v>387</v>
      </c>
      <c r="C63" s="6" t="s">
        <v>388</v>
      </c>
      <c r="D63" s="6" t="s">
        <v>400</v>
      </c>
      <c r="E63" s="6" t="s">
        <v>110</v>
      </c>
      <c r="F63" s="6" t="s">
        <v>41</v>
      </c>
      <c r="G63" s="6" t="s">
        <v>111</v>
      </c>
      <c r="H63" s="6" t="s">
        <v>401</v>
      </c>
      <c r="I63" s="6" t="s">
        <v>77</v>
      </c>
      <c r="J63" s="6" t="s">
        <v>402</v>
      </c>
      <c r="K63" s="6" t="s">
        <v>46</v>
      </c>
      <c r="L63" s="6" t="s">
        <v>47</v>
      </c>
      <c r="M63" s="6"/>
      <c r="N63" s="6" t="s">
        <v>20</v>
      </c>
      <c r="O63" s="6"/>
      <c r="P63" s="6"/>
      <c r="Q63" s="6"/>
      <c r="R63" s="6"/>
    </row>
    <row r="64" ht="15.75" customHeight="1">
      <c r="A64" s="6" t="s">
        <v>403</v>
      </c>
      <c r="B64" s="6" t="s">
        <v>404</v>
      </c>
      <c r="C64" s="6" t="s">
        <v>405</v>
      </c>
      <c r="D64" s="6" t="s">
        <v>406</v>
      </c>
      <c r="E64" s="6" t="s">
        <v>40</v>
      </c>
      <c r="F64" s="6" t="s">
        <v>41</v>
      </c>
      <c r="G64" s="6" t="s">
        <v>407</v>
      </c>
      <c r="H64" s="6" t="s">
        <v>408</v>
      </c>
      <c r="I64" s="6" t="s">
        <v>77</v>
      </c>
      <c r="J64" s="6" t="s">
        <v>409</v>
      </c>
      <c r="K64" s="6" t="s">
        <v>46</v>
      </c>
      <c r="L64" s="6" t="s">
        <v>47</v>
      </c>
      <c r="M64" s="6"/>
      <c r="N64" s="6" t="s">
        <v>20</v>
      </c>
      <c r="O64" s="6"/>
      <c r="P64" s="6"/>
      <c r="Q64" s="6"/>
      <c r="R64" s="6"/>
    </row>
    <row r="65" ht="15.75" customHeight="1">
      <c r="A65" s="6" t="s">
        <v>410</v>
      </c>
      <c r="B65" s="6" t="s">
        <v>404</v>
      </c>
      <c r="C65" s="6" t="s">
        <v>405</v>
      </c>
      <c r="D65" s="6" t="s">
        <v>411</v>
      </c>
      <c r="E65" s="6" t="s">
        <v>40</v>
      </c>
      <c r="F65" s="6" t="s">
        <v>41</v>
      </c>
      <c r="G65" s="6" t="s">
        <v>412</v>
      </c>
      <c r="H65" s="6" t="s">
        <v>413</v>
      </c>
      <c r="I65" s="6" t="s">
        <v>77</v>
      </c>
      <c r="J65" s="6" t="s">
        <v>414</v>
      </c>
      <c r="K65" s="6" t="s">
        <v>46</v>
      </c>
      <c r="L65" s="6" t="s">
        <v>115</v>
      </c>
      <c r="M65" s="6"/>
      <c r="N65" s="6" t="s">
        <v>20</v>
      </c>
      <c r="O65" s="6"/>
      <c r="P65" s="6"/>
      <c r="Q65" s="6"/>
      <c r="R65" s="6"/>
    </row>
    <row r="66" ht="15.75" customHeight="1">
      <c r="A66" s="6" t="s">
        <v>415</v>
      </c>
      <c r="B66" s="6" t="s">
        <v>404</v>
      </c>
      <c r="C66" s="6" t="s">
        <v>405</v>
      </c>
      <c r="D66" s="6" t="s">
        <v>416</v>
      </c>
      <c r="E66" s="6" t="s">
        <v>40</v>
      </c>
      <c r="F66" s="6" t="s">
        <v>41</v>
      </c>
      <c r="G66" s="6" t="s">
        <v>417</v>
      </c>
      <c r="H66" s="6" t="s">
        <v>418</v>
      </c>
      <c r="I66" s="6" t="s">
        <v>77</v>
      </c>
      <c r="J66" s="6" t="s">
        <v>419</v>
      </c>
      <c r="K66" s="6" t="s">
        <v>46</v>
      </c>
      <c r="L66" s="6" t="s">
        <v>115</v>
      </c>
      <c r="M66" s="6"/>
      <c r="N66" s="6" t="s">
        <v>20</v>
      </c>
      <c r="O66" s="6"/>
      <c r="P66" s="6"/>
      <c r="Q66" s="6"/>
      <c r="R66" s="6"/>
    </row>
    <row r="67" ht="15.75" customHeight="1">
      <c r="A67" s="6" t="s">
        <v>420</v>
      </c>
      <c r="B67" s="6" t="s">
        <v>421</v>
      </c>
      <c r="C67" s="6" t="s">
        <v>422</v>
      </c>
      <c r="D67" s="6" t="s">
        <v>423</v>
      </c>
      <c r="E67" s="6" t="s">
        <v>110</v>
      </c>
      <c r="F67" s="6" t="s">
        <v>41</v>
      </c>
      <c r="G67" s="6" t="s">
        <v>111</v>
      </c>
      <c r="H67" s="6" t="s">
        <v>424</v>
      </c>
      <c r="I67" s="6" t="s">
        <v>77</v>
      </c>
      <c r="J67" s="6" t="s">
        <v>425</v>
      </c>
      <c r="K67" s="6" t="s">
        <v>46</v>
      </c>
      <c r="L67" s="6" t="s">
        <v>47</v>
      </c>
      <c r="M67" s="6"/>
      <c r="N67" s="6" t="s">
        <v>20</v>
      </c>
      <c r="O67" s="6"/>
      <c r="P67" s="6"/>
      <c r="Q67" s="6"/>
      <c r="R67" s="6"/>
    </row>
    <row r="68" ht="15.75" customHeight="1">
      <c r="A68" s="6" t="s">
        <v>426</v>
      </c>
      <c r="B68" s="6" t="s">
        <v>421</v>
      </c>
      <c r="C68" s="6" t="s">
        <v>422</v>
      </c>
      <c r="D68" s="6" t="s">
        <v>427</v>
      </c>
      <c r="E68" s="6" t="s">
        <v>110</v>
      </c>
      <c r="F68" s="6" t="s">
        <v>41</v>
      </c>
      <c r="G68" s="6" t="s">
        <v>111</v>
      </c>
      <c r="H68" s="6" t="s">
        <v>428</v>
      </c>
      <c r="I68" s="6" t="s">
        <v>429</v>
      </c>
      <c r="J68" s="6" t="s">
        <v>257</v>
      </c>
      <c r="K68" s="6" t="s">
        <v>46</v>
      </c>
      <c r="L68" s="6" t="s">
        <v>47</v>
      </c>
      <c r="M68" s="6"/>
      <c r="N68" s="6" t="s">
        <v>20</v>
      </c>
      <c r="O68" s="6"/>
      <c r="P68" s="6"/>
      <c r="Q68" s="6"/>
      <c r="R68" s="6"/>
    </row>
    <row r="69" ht="15.75" customHeight="1">
      <c r="A69" s="6" t="s">
        <v>430</v>
      </c>
      <c r="B69" s="6" t="s">
        <v>421</v>
      </c>
      <c r="C69" s="6" t="s">
        <v>422</v>
      </c>
      <c r="D69" s="6" t="s">
        <v>431</v>
      </c>
      <c r="E69" s="6" t="s">
        <v>40</v>
      </c>
      <c r="F69" s="6" t="s">
        <v>41</v>
      </c>
      <c r="G69" s="6" t="s">
        <v>417</v>
      </c>
      <c r="H69" s="6" t="s">
        <v>432</v>
      </c>
      <c r="I69" s="6" t="s">
        <v>77</v>
      </c>
      <c r="J69" s="6" t="s">
        <v>433</v>
      </c>
      <c r="K69" s="6" t="s">
        <v>46</v>
      </c>
      <c r="L69" s="6" t="s">
        <v>115</v>
      </c>
      <c r="M69" s="6"/>
      <c r="N69" s="6" t="s">
        <v>20</v>
      </c>
      <c r="O69" s="6"/>
      <c r="P69" s="6"/>
      <c r="Q69" s="6"/>
      <c r="R69" s="6"/>
    </row>
    <row r="70" ht="15.75" customHeight="1">
      <c r="A70" s="6" t="s">
        <v>434</v>
      </c>
      <c r="B70" s="6" t="s">
        <v>421</v>
      </c>
      <c r="C70" s="6" t="s">
        <v>422</v>
      </c>
      <c r="D70" s="6" t="s">
        <v>435</v>
      </c>
      <c r="E70" s="6" t="s">
        <v>178</v>
      </c>
      <c r="F70" s="6" t="s">
        <v>83</v>
      </c>
      <c r="G70" s="6" t="s">
        <v>84</v>
      </c>
      <c r="H70" s="6" t="s">
        <v>436</v>
      </c>
      <c r="I70" s="6" t="s">
        <v>77</v>
      </c>
      <c r="J70" s="6" t="s">
        <v>262</v>
      </c>
      <c r="K70" s="6" t="s">
        <v>46</v>
      </c>
      <c r="L70" s="6" t="s">
        <v>398</v>
      </c>
      <c r="M70" s="6"/>
      <c r="N70" s="6" t="s">
        <v>20</v>
      </c>
      <c r="O70" s="6"/>
      <c r="P70" s="6"/>
      <c r="Q70" s="6"/>
      <c r="R70" s="6"/>
    </row>
    <row r="71" ht="15.75" customHeight="1">
      <c r="A71" s="6" t="s">
        <v>437</v>
      </c>
      <c r="B71" s="6" t="s">
        <v>438</v>
      </c>
      <c r="C71" s="6" t="s">
        <v>439</v>
      </c>
      <c r="D71" s="6" t="s">
        <v>440</v>
      </c>
      <c r="E71" s="6" t="s">
        <v>40</v>
      </c>
      <c r="F71" s="6" t="s">
        <v>41</v>
      </c>
      <c r="G71" s="6" t="s">
        <v>336</v>
      </c>
      <c r="H71" s="6" t="s">
        <v>441</v>
      </c>
      <c r="I71" s="6" t="s">
        <v>77</v>
      </c>
      <c r="J71" s="6" t="s">
        <v>442</v>
      </c>
      <c r="K71" s="6" t="s">
        <v>46</v>
      </c>
      <c r="L71" s="6" t="s">
        <v>47</v>
      </c>
      <c r="M71" s="6"/>
      <c r="N71" s="6" t="s">
        <v>20</v>
      </c>
      <c r="O71" s="6"/>
      <c r="P71" s="6"/>
      <c r="Q71" s="6"/>
      <c r="R71" s="6"/>
    </row>
    <row r="72" ht="15.75" customHeight="1">
      <c r="A72" s="6" t="s">
        <v>443</v>
      </c>
      <c r="B72" s="6" t="s">
        <v>438</v>
      </c>
      <c r="C72" s="6" t="s">
        <v>439</v>
      </c>
      <c r="D72" s="6" t="s">
        <v>444</v>
      </c>
      <c r="E72" s="6" t="s">
        <v>40</v>
      </c>
      <c r="F72" s="6" t="s">
        <v>41</v>
      </c>
      <c r="G72" s="6" t="s">
        <v>445</v>
      </c>
      <c r="H72" s="6" t="s">
        <v>446</v>
      </c>
      <c r="I72" s="6" t="s">
        <v>77</v>
      </c>
      <c r="J72" s="6" t="s">
        <v>447</v>
      </c>
      <c r="K72" s="6" t="s">
        <v>46</v>
      </c>
      <c r="L72" s="6" t="s">
        <v>115</v>
      </c>
      <c r="M72" s="6"/>
      <c r="N72" s="6" t="s">
        <v>20</v>
      </c>
      <c r="O72" s="6"/>
      <c r="P72" s="6"/>
      <c r="Q72" s="6"/>
      <c r="R72" s="6"/>
    </row>
    <row r="73" ht="15.75" customHeight="1">
      <c r="A73" s="6" t="s">
        <v>448</v>
      </c>
      <c r="B73" s="6" t="s">
        <v>449</v>
      </c>
      <c r="C73" s="6" t="s">
        <v>450</v>
      </c>
      <c r="D73" s="6" t="s">
        <v>451</v>
      </c>
      <c r="E73" s="6" t="s">
        <v>110</v>
      </c>
      <c r="F73" s="6" t="s">
        <v>41</v>
      </c>
      <c r="G73" s="6" t="s">
        <v>111</v>
      </c>
      <c r="H73" s="6" t="s">
        <v>452</v>
      </c>
      <c r="I73" s="6" t="s">
        <v>77</v>
      </c>
      <c r="J73" s="6" t="s">
        <v>453</v>
      </c>
      <c r="K73" s="6" t="s">
        <v>46</v>
      </c>
      <c r="L73" s="6" t="s">
        <v>47</v>
      </c>
      <c r="M73" s="6"/>
      <c r="N73" s="6" t="s">
        <v>20</v>
      </c>
      <c r="O73" s="6"/>
      <c r="P73" s="6"/>
      <c r="Q73" s="6"/>
      <c r="R73" s="6"/>
    </row>
    <row r="74" ht="15.75" customHeight="1">
      <c r="A74" s="6" t="s">
        <v>454</v>
      </c>
      <c r="B74" s="6" t="s">
        <v>449</v>
      </c>
      <c r="C74" s="6" t="s">
        <v>450</v>
      </c>
      <c r="D74" s="6" t="s">
        <v>455</v>
      </c>
      <c r="E74" s="6" t="s">
        <v>110</v>
      </c>
      <c r="F74" s="6" t="s">
        <v>41</v>
      </c>
      <c r="G74" s="6" t="s">
        <v>111</v>
      </c>
      <c r="H74" s="6" t="s">
        <v>456</v>
      </c>
      <c r="I74" s="6" t="s">
        <v>77</v>
      </c>
      <c r="J74" s="6" t="s">
        <v>457</v>
      </c>
      <c r="K74" s="6" t="s">
        <v>46</v>
      </c>
      <c r="L74" s="6" t="s">
        <v>47</v>
      </c>
      <c r="M74" s="6"/>
      <c r="N74" s="6" t="s">
        <v>20</v>
      </c>
      <c r="O74" s="6"/>
      <c r="P74" s="6"/>
      <c r="Q74" s="6"/>
      <c r="R74" s="6"/>
    </row>
    <row r="75" ht="15.75" customHeight="1">
      <c r="A75" s="6" t="s">
        <v>458</v>
      </c>
      <c r="B75" s="6" t="s">
        <v>459</v>
      </c>
      <c r="C75" s="6" t="s">
        <v>460</v>
      </c>
      <c r="D75" s="6" t="s">
        <v>461</v>
      </c>
      <c r="E75" s="6" t="s">
        <v>40</v>
      </c>
      <c r="F75" s="6" t="s">
        <v>462</v>
      </c>
      <c r="G75" s="6" t="s">
        <v>463</v>
      </c>
      <c r="H75" s="6" t="s">
        <v>464</v>
      </c>
      <c r="I75" s="6" t="s">
        <v>77</v>
      </c>
      <c r="J75" s="6" t="s">
        <v>465</v>
      </c>
      <c r="K75" s="6" t="s">
        <v>46</v>
      </c>
      <c r="L75" s="6" t="s">
        <v>47</v>
      </c>
      <c r="M75" s="6"/>
      <c r="N75" s="6" t="s">
        <v>20</v>
      </c>
      <c r="O75" s="6"/>
      <c r="P75" s="6"/>
      <c r="Q75" s="6"/>
      <c r="R75" s="6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R$75"/>
  <conditionalFormatting sqref="N5:N75">
    <cfRule type="expression" dxfId="0" priority="1">
      <formula>$N5="Pass"</formula>
    </cfRule>
  </conditionalFormatting>
  <conditionalFormatting sqref="N5:N75">
    <cfRule type="expression" dxfId="1" priority="2">
      <formula>$N5="Fail"</formula>
    </cfRule>
  </conditionalFormatting>
  <conditionalFormatting sqref="N5:N75">
    <cfRule type="expression" dxfId="2" priority="3">
      <formula>$N5="Blocked"</formula>
    </cfRule>
  </conditionalFormatting>
  <conditionalFormatting sqref="K5:K75">
    <cfRule type="expression" dxfId="1" priority="4">
      <formula>$K5="GAP"</formula>
    </cfRule>
  </conditionalFormatting>
  <conditionalFormatting sqref="K5:K75">
    <cfRule type="expression" dxfId="0" priority="5">
      <formula>$K5="PASS"</formula>
    </cfRule>
  </conditionalFormatting>
  <conditionalFormatting sqref="K5:K75">
    <cfRule type="expression" dxfId="0" priority="6">
      <formula>$K5="Tested"</formula>
    </cfRule>
  </conditionalFormatting>
  <dataValidations>
    <dataValidation type="list" allowBlank="1" sqref="N5:N75">
      <formula1>"Not Run,Pass,Fail,Blocked,N/A"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4.0"/>
    <col customWidth="1" min="3" max="8" width="11.0"/>
    <col customWidth="1" min="9" max="26" width="8.71"/>
  </cols>
  <sheetData>
    <row r="1">
      <c r="A1" s="1" t="s">
        <v>0</v>
      </c>
    </row>
    <row r="3">
      <c r="A3" s="4" t="s">
        <v>4</v>
      </c>
      <c r="B3" s="4" t="s">
        <v>5</v>
      </c>
      <c r="C3" s="4" t="s">
        <v>9</v>
      </c>
      <c r="D3" s="4" t="s">
        <v>11</v>
      </c>
      <c r="E3" s="4" t="s">
        <v>14</v>
      </c>
      <c r="F3" s="4" t="s">
        <v>16</v>
      </c>
      <c r="G3" s="4" t="s">
        <v>20</v>
      </c>
      <c r="H3" s="4" t="s">
        <v>22</v>
      </c>
    </row>
    <row r="4">
      <c r="A4" s="5" t="s">
        <v>27</v>
      </c>
      <c r="B4" s="5" t="s">
        <v>33</v>
      </c>
      <c r="C4" s="5">
        <f>COUNTIF('Test Cases'!$B$5:$B$75,A4)</f>
        <v>2</v>
      </c>
      <c r="D4" s="5">
        <f>COUNTIFS('Test Cases'!$B$5:$B$75,$A4,'Test Cases'!$N$5:$N$75,"Pass")</f>
        <v>0</v>
      </c>
      <c r="E4" s="5">
        <f>COUNTIFS('Test Cases'!$B$5:$B$75,$A4,'Test Cases'!$N$5:$N$75,"Fail")</f>
        <v>0</v>
      </c>
      <c r="F4" s="5">
        <f>COUNTIFS('Test Cases'!$B$5:$B$75,$A4,'Test Cases'!$N$5:$N$75,"Blocked")</f>
        <v>0</v>
      </c>
      <c r="G4" s="5">
        <f>COUNTIFS('Test Cases'!$B$5:$B$75,$A4,'Test Cases'!$N$5:$N$75,"Not Run")</f>
        <v>2</v>
      </c>
      <c r="H4" s="5">
        <f>COUNTIFS('Test Cases'!$B$5:$B$75,$A4,'Test Cases'!$K$5:$K$75,"GAP")</f>
        <v>0</v>
      </c>
    </row>
    <row r="5">
      <c r="A5" s="5" t="s">
        <v>71</v>
      </c>
      <c r="B5" s="5" t="s">
        <v>72</v>
      </c>
      <c r="C5" s="5">
        <f>COUNTIF('Test Cases'!$B$5:$B$75,A5)</f>
        <v>5</v>
      </c>
      <c r="D5" s="5">
        <f>COUNTIFS('Test Cases'!$B$5:$B$75,$A5,'Test Cases'!$N$5:$N$75,"Pass")</f>
        <v>0</v>
      </c>
      <c r="E5" s="5">
        <f>COUNTIFS('Test Cases'!$B$5:$B$75,$A5,'Test Cases'!$N$5:$N$75,"Fail")</f>
        <v>0</v>
      </c>
      <c r="F5" s="5">
        <f>COUNTIFS('Test Cases'!$B$5:$B$75,$A5,'Test Cases'!$N$5:$N$75,"Blocked")</f>
        <v>0</v>
      </c>
      <c r="G5" s="5">
        <f>COUNTIFS('Test Cases'!$B$5:$B$75,$A5,'Test Cases'!$N$5:$N$75,"Not Run")</f>
        <v>5</v>
      </c>
      <c r="H5" s="5">
        <f>COUNTIFS('Test Cases'!$B$5:$B$75,$A5,'Test Cases'!$K$5:$K$75,"GAP")</f>
        <v>0</v>
      </c>
    </row>
    <row r="6">
      <c r="A6" s="5" t="s">
        <v>123</v>
      </c>
      <c r="B6" s="5" t="s">
        <v>124</v>
      </c>
      <c r="C6" s="5">
        <f>COUNTIF('Test Cases'!$B$5:$B$75,A6)</f>
        <v>6</v>
      </c>
      <c r="D6" s="5">
        <f>COUNTIFS('Test Cases'!$B$5:$B$75,$A6,'Test Cases'!$N$5:$N$75,"Pass")</f>
        <v>0</v>
      </c>
      <c r="E6" s="5">
        <f>COUNTIFS('Test Cases'!$B$5:$B$75,$A6,'Test Cases'!$N$5:$N$75,"Fail")</f>
        <v>0</v>
      </c>
      <c r="F6" s="5">
        <f>COUNTIFS('Test Cases'!$B$5:$B$75,$A6,'Test Cases'!$N$5:$N$75,"Blocked")</f>
        <v>0</v>
      </c>
      <c r="G6" s="5">
        <f>COUNTIFS('Test Cases'!$B$5:$B$75,$A6,'Test Cases'!$N$5:$N$75,"Not Run")</f>
        <v>6</v>
      </c>
      <c r="H6" s="5">
        <f>COUNTIFS('Test Cases'!$B$5:$B$75,$A6,'Test Cases'!$K$5:$K$75,"GAP")</f>
        <v>0</v>
      </c>
    </row>
    <row r="7">
      <c r="A7" s="5" t="s">
        <v>158</v>
      </c>
      <c r="B7" s="5" t="s">
        <v>159</v>
      </c>
      <c r="C7" s="5">
        <f>COUNTIF('Test Cases'!$B$5:$B$75,A7)</f>
        <v>5</v>
      </c>
      <c r="D7" s="5">
        <f>COUNTIFS('Test Cases'!$B$5:$B$75,$A7,'Test Cases'!$N$5:$N$75,"Pass")</f>
        <v>0</v>
      </c>
      <c r="E7" s="5">
        <f>COUNTIFS('Test Cases'!$B$5:$B$75,$A7,'Test Cases'!$N$5:$N$75,"Fail")</f>
        <v>0</v>
      </c>
      <c r="F7" s="5">
        <f>COUNTIFS('Test Cases'!$B$5:$B$75,$A7,'Test Cases'!$N$5:$N$75,"Blocked")</f>
        <v>0</v>
      </c>
      <c r="G7" s="5">
        <f>COUNTIFS('Test Cases'!$B$5:$B$75,$A7,'Test Cases'!$N$5:$N$75,"Not Run")</f>
        <v>5</v>
      </c>
      <c r="H7" s="5">
        <f>COUNTIFS('Test Cases'!$B$5:$B$75,$A7,'Test Cases'!$K$5:$K$75,"GAP")</f>
        <v>3</v>
      </c>
    </row>
    <row r="8">
      <c r="A8" s="5" t="s">
        <v>190</v>
      </c>
      <c r="B8" s="5" t="s">
        <v>191</v>
      </c>
      <c r="C8" s="5">
        <f>COUNTIF('Test Cases'!$B$5:$B$75,A8)</f>
        <v>5</v>
      </c>
      <c r="D8" s="5">
        <f>COUNTIFS('Test Cases'!$B$5:$B$75,$A8,'Test Cases'!$N$5:$N$75,"Pass")</f>
        <v>0</v>
      </c>
      <c r="E8" s="5">
        <f>COUNTIFS('Test Cases'!$B$5:$B$75,$A8,'Test Cases'!$N$5:$N$75,"Fail")</f>
        <v>0</v>
      </c>
      <c r="F8" s="5">
        <f>COUNTIFS('Test Cases'!$B$5:$B$75,$A8,'Test Cases'!$N$5:$N$75,"Blocked")</f>
        <v>0</v>
      </c>
      <c r="G8" s="5">
        <f>COUNTIFS('Test Cases'!$B$5:$B$75,$A8,'Test Cases'!$N$5:$N$75,"Not Run")</f>
        <v>5</v>
      </c>
      <c r="H8" s="5">
        <f>COUNTIFS('Test Cases'!$B$5:$B$75,$A8,'Test Cases'!$K$5:$K$75,"GAP")</f>
        <v>3</v>
      </c>
    </row>
    <row r="9">
      <c r="A9" s="5" t="s">
        <v>216</v>
      </c>
      <c r="B9" s="5" t="s">
        <v>217</v>
      </c>
      <c r="C9" s="5">
        <f>COUNTIF('Test Cases'!$B$5:$B$75,A9)</f>
        <v>5</v>
      </c>
      <c r="D9" s="5">
        <f>COUNTIFS('Test Cases'!$B$5:$B$75,$A9,'Test Cases'!$N$5:$N$75,"Pass")</f>
        <v>0</v>
      </c>
      <c r="E9" s="5">
        <f>COUNTIFS('Test Cases'!$B$5:$B$75,$A9,'Test Cases'!$N$5:$N$75,"Fail")</f>
        <v>0</v>
      </c>
      <c r="F9" s="5">
        <f>COUNTIFS('Test Cases'!$B$5:$B$75,$A9,'Test Cases'!$N$5:$N$75,"Blocked")</f>
        <v>0</v>
      </c>
      <c r="G9" s="5">
        <f>COUNTIFS('Test Cases'!$B$5:$B$75,$A9,'Test Cases'!$N$5:$N$75,"Not Run")</f>
        <v>5</v>
      </c>
      <c r="H9" s="5">
        <f>COUNTIFS('Test Cases'!$B$5:$B$75,$A9,'Test Cases'!$K$5:$K$75,"GAP")</f>
        <v>0</v>
      </c>
    </row>
    <row r="10">
      <c r="A10" s="5" t="s">
        <v>243</v>
      </c>
      <c r="B10" s="5" t="s">
        <v>244</v>
      </c>
      <c r="C10" s="5">
        <f>COUNTIF('Test Cases'!$B$5:$B$75,A10)</f>
        <v>4</v>
      </c>
      <c r="D10" s="5">
        <f>COUNTIFS('Test Cases'!$B$5:$B$75,$A10,'Test Cases'!$N$5:$N$75,"Pass")</f>
        <v>0</v>
      </c>
      <c r="E10" s="5">
        <f>COUNTIFS('Test Cases'!$B$5:$B$75,$A10,'Test Cases'!$N$5:$N$75,"Fail")</f>
        <v>0</v>
      </c>
      <c r="F10" s="5">
        <f>COUNTIFS('Test Cases'!$B$5:$B$75,$A10,'Test Cases'!$N$5:$N$75,"Blocked")</f>
        <v>0</v>
      </c>
      <c r="G10" s="5">
        <f>COUNTIFS('Test Cases'!$B$5:$B$75,$A10,'Test Cases'!$N$5:$N$75,"Not Run")</f>
        <v>4</v>
      </c>
      <c r="H10" s="5">
        <f>COUNTIFS('Test Cases'!$B$5:$B$75,$A10,'Test Cases'!$K$5:$K$75,"GAP")</f>
        <v>0</v>
      </c>
    </row>
    <row r="11">
      <c r="A11" s="5" t="s">
        <v>264</v>
      </c>
      <c r="B11" s="5" t="s">
        <v>265</v>
      </c>
      <c r="C11" s="5">
        <f>COUNTIF('Test Cases'!$B$5:$B$75,A11)</f>
        <v>5</v>
      </c>
      <c r="D11" s="5">
        <f>COUNTIFS('Test Cases'!$B$5:$B$75,$A11,'Test Cases'!$N$5:$N$75,"Pass")</f>
        <v>0</v>
      </c>
      <c r="E11" s="5">
        <f>COUNTIFS('Test Cases'!$B$5:$B$75,$A11,'Test Cases'!$N$5:$N$75,"Fail")</f>
        <v>0</v>
      </c>
      <c r="F11" s="5">
        <f>COUNTIFS('Test Cases'!$B$5:$B$75,$A11,'Test Cases'!$N$5:$N$75,"Blocked")</f>
        <v>0</v>
      </c>
      <c r="G11" s="5">
        <f>COUNTIFS('Test Cases'!$B$5:$B$75,$A11,'Test Cases'!$N$5:$N$75,"Not Run")</f>
        <v>5</v>
      </c>
      <c r="H11" s="5">
        <f>COUNTIFS('Test Cases'!$B$5:$B$75,$A11,'Test Cases'!$K$5:$K$75,"GAP")</f>
        <v>0</v>
      </c>
    </row>
    <row r="12">
      <c r="A12" s="5" t="s">
        <v>283</v>
      </c>
      <c r="B12" s="5" t="s">
        <v>284</v>
      </c>
      <c r="C12" s="5">
        <f>COUNTIF('Test Cases'!$B$5:$B$75,A12)</f>
        <v>4</v>
      </c>
      <c r="D12" s="5">
        <f>COUNTIFS('Test Cases'!$B$5:$B$75,$A12,'Test Cases'!$N$5:$N$75,"Pass")</f>
        <v>0</v>
      </c>
      <c r="E12" s="5">
        <f>COUNTIFS('Test Cases'!$B$5:$B$75,$A12,'Test Cases'!$N$5:$N$75,"Fail")</f>
        <v>0</v>
      </c>
      <c r="F12" s="5">
        <f>COUNTIFS('Test Cases'!$B$5:$B$75,$A12,'Test Cases'!$N$5:$N$75,"Blocked")</f>
        <v>0</v>
      </c>
      <c r="G12" s="5">
        <f>COUNTIFS('Test Cases'!$B$5:$B$75,$A12,'Test Cases'!$N$5:$N$75,"Not Run")</f>
        <v>4</v>
      </c>
      <c r="H12" s="5">
        <f>COUNTIFS('Test Cases'!$B$5:$B$75,$A12,'Test Cases'!$K$5:$K$75,"GAP")</f>
        <v>0</v>
      </c>
    </row>
    <row r="13">
      <c r="A13" s="5" t="s">
        <v>304</v>
      </c>
      <c r="B13" s="5" t="s">
        <v>305</v>
      </c>
      <c r="C13" s="5">
        <f>COUNTIF('Test Cases'!$B$5:$B$75,A13)</f>
        <v>5</v>
      </c>
      <c r="D13" s="5">
        <f>COUNTIFS('Test Cases'!$B$5:$B$75,$A13,'Test Cases'!$N$5:$N$75,"Pass")</f>
        <v>0</v>
      </c>
      <c r="E13" s="5">
        <f>COUNTIFS('Test Cases'!$B$5:$B$75,$A13,'Test Cases'!$N$5:$N$75,"Fail")</f>
        <v>0</v>
      </c>
      <c r="F13" s="5">
        <f>COUNTIFS('Test Cases'!$B$5:$B$75,$A13,'Test Cases'!$N$5:$N$75,"Blocked")</f>
        <v>0</v>
      </c>
      <c r="G13" s="5">
        <f>COUNTIFS('Test Cases'!$B$5:$B$75,$A13,'Test Cases'!$N$5:$N$75,"Not Run")</f>
        <v>5</v>
      </c>
      <c r="H13" s="5">
        <f>COUNTIFS('Test Cases'!$B$5:$B$75,$A13,'Test Cases'!$K$5:$K$75,"GAP")</f>
        <v>0</v>
      </c>
    </row>
    <row r="14">
      <c r="A14" s="5" t="s">
        <v>333</v>
      </c>
      <c r="B14" s="5" t="s">
        <v>334</v>
      </c>
      <c r="C14" s="5">
        <f>COUNTIF('Test Cases'!$B$5:$B$75,A14)</f>
        <v>5</v>
      </c>
      <c r="D14" s="5">
        <f>COUNTIFS('Test Cases'!$B$5:$B$75,$A14,'Test Cases'!$N$5:$N$75,"Pass")</f>
        <v>0</v>
      </c>
      <c r="E14" s="5">
        <f>COUNTIFS('Test Cases'!$B$5:$B$75,$A14,'Test Cases'!$N$5:$N$75,"Fail")</f>
        <v>0</v>
      </c>
      <c r="F14" s="5">
        <f>COUNTIFS('Test Cases'!$B$5:$B$75,$A14,'Test Cases'!$N$5:$N$75,"Blocked")</f>
        <v>0</v>
      </c>
      <c r="G14" s="5">
        <f>COUNTIFS('Test Cases'!$B$5:$B$75,$A14,'Test Cases'!$N$5:$N$75,"Not Run")</f>
        <v>5</v>
      </c>
      <c r="H14" s="5">
        <f>COUNTIFS('Test Cases'!$B$5:$B$75,$A14,'Test Cases'!$K$5:$K$75,"GAP")</f>
        <v>0</v>
      </c>
    </row>
    <row r="15">
      <c r="A15" s="5" t="s">
        <v>360</v>
      </c>
      <c r="B15" s="5" t="s">
        <v>361</v>
      </c>
      <c r="C15" s="5">
        <f>COUNTIF('Test Cases'!$B$5:$B$75,A15)</f>
        <v>5</v>
      </c>
      <c r="D15" s="5">
        <f>COUNTIFS('Test Cases'!$B$5:$B$75,$A15,'Test Cases'!$N$5:$N$75,"Pass")</f>
        <v>0</v>
      </c>
      <c r="E15" s="5">
        <f>COUNTIFS('Test Cases'!$B$5:$B$75,$A15,'Test Cases'!$N$5:$N$75,"Fail")</f>
        <v>0</v>
      </c>
      <c r="F15" s="5">
        <f>COUNTIFS('Test Cases'!$B$5:$B$75,$A15,'Test Cases'!$N$5:$N$75,"Blocked")</f>
        <v>0</v>
      </c>
      <c r="G15" s="5">
        <f>COUNTIFS('Test Cases'!$B$5:$B$75,$A15,'Test Cases'!$N$5:$N$75,"Not Run")</f>
        <v>5</v>
      </c>
      <c r="H15" s="5">
        <f>COUNTIFS('Test Cases'!$B$5:$B$75,$A15,'Test Cases'!$K$5:$K$75,"GAP")</f>
        <v>0</v>
      </c>
    </row>
    <row r="16">
      <c r="A16" s="5" t="s">
        <v>387</v>
      </c>
      <c r="B16" s="5" t="s">
        <v>388</v>
      </c>
      <c r="C16" s="5">
        <f>COUNTIF('Test Cases'!$B$5:$B$75,A16)</f>
        <v>3</v>
      </c>
      <c r="D16" s="5">
        <f>COUNTIFS('Test Cases'!$B$5:$B$75,$A16,'Test Cases'!$N$5:$N$75,"Pass")</f>
        <v>0</v>
      </c>
      <c r="E16" s="5">
        <f>COUNTIFS('Test Cases'!$B$5:$B$75,$A16,'Test Cases'!$N$5:$N$75,"Fail")</f>
        <v>0</v>
      </c>
      <c r="F16" s="5">
        <f>COUNTIFS('Test Cases'!$B$5:$B$75,$A16,'Test Cases'!$N$5:$N$75,"Blocked")</f>
        <v>0</v>
      </c>
      <c r="G16" s="5">
        <f>COUNTIFS('Test Cases'!$B$5:$B$75,$A16,'Test Cases'!$N$5:$N$75,"Not Run")</f>
        <v>3</v>
      </c>
      <c r="H16" s="5">
        <f>COUNTIFS('Test Cases'!$B$5:$B$75,$A16,'Test Cases'!$K$5:$K$75,"GAP")</f>
        <v>0</v>
      </c>
    </row>
    <row r="17">
      <c r="A17" s="5" t="s">
        <v>404</v>
      </c>
      <c r="B17" s="5" t="s">
        <v>405</v>
      </c>
      <c r="C17" s="5">
        <f>COUNTIF('Test Cases'!$B$5:$B$75,A17)</f>
        <v>3</v>
      </c>
      <c r="D17" s="5">
        <f>COUNTIFS('Test Cases'!$B$5:$B$75,$A17,'Test Cases'!$N$5:$N$75,"Pass")</f>
        <v>0</v>
      </c>
      <c r="E17" s="5">
        <f>COUNTIFS('Test Cases'!$B$5:$B$75,$A17,'Test Cases'!$N$5:$N$75,"Fail")</f>
        <v>0</v>
      </c>
      <c r="F17" s="5">
        <f>COUNTIFS('Test Cases'!$B$5:$B$75,$A17,'Test Cases'!$N$5:$N$75,"Blocked")</f>
        <v>0</v>
      </c>
      <c r="G17" s="5">
        <f>COUNTIFS('Test Cases'!$B$5:$B$75,$A17,'Test Cases'!$N$5:$N$75,"Not Run")</f>
        <v>3</v>
      </c>
      <c r="H17" s="5">
        <f>COUNTIFS('Test Cases'!$B$5:$B$75,$A17,'Test Cases'!$K$5:$K$75,"GAP")</f>
        <v>0</v>
      </c>
    </row>
    <row r="18">
      <c r="A18" s="5" t="s">
        <v>421</v>
      </c>
      <c r="B18" s="5" t="s">
        <v>422</v>
      </c>
      <c r="C18" s="5">
        <f>COUNTIF('Test Cases'!$B$5:$B$75,A18)</f>
        <v>4</v>
      </c>
      <c r="D18" s="5">
        <f>COUNTIFS('Test Cases'!$B$5:$B$75,$A18,'Test Cases'!$N$5:$N$75,"Pass")</f>
        <v>0</v>
      </c>
      <c r="E18" s="5">
        <f>COUNTIFS('Test Cases'!$B$5:$B$75,$A18,'Test Cases'!$N$5:$N$75,"Fail")</f>
        <v>0</v>
      </c>
      <c r="F18" s="5">
        <f>COUNTIFS('Test Cases'!$B$5:$B$75,$A18,'Test Cases'!$N$5:$N$75,"Blocked")</f>
        <v>0</v>
      </c>
      <c r="G18" s="5">
        <f>COUNTIFS('Test Cases'!$B$5:$B$75,$A18,'Test Cases'!$N$5:$N$75,"Not Run")</f>
        <v>4</v>
      </c>
      <c r="H18" s="5">
        <f>COUNTIFS('Test Cases'!$B$5:$B$75,$A18,'Test Cases'!$K$5:$K$75,"GAP")</f>
        <v>0</v>
      </c>
    </row>
    <row r="19">
      <c r="A19" s="5" t="s">
        <v>438</v>
      </c>
      <c r="B19" s="5" t="s">
        <v>439</v>
      </c>
      <c r="C19" s="5">
        <f>COUNTIF('Test Cases'!$B$5:$B$75,A19)</f>
        <v>2</v>
      </c>
      <c r="D19" s="5">
        <f>COUNTIFS('Test Cases'!$B$5:$B$75,$A19,'Test Cases'!$N$5:$N$75,"Pass")</f>
        <v>0</v>
      </c>
      <c r="E19" s="5">
        <f>COUNTIFS('Test Cases'!$B$5:$B$75,$A19,'Test Cases'!$N$5:$N$75,"Fail")</f>
        <v>0</v>
      </c>
      <c r="F19" s="5">
        <f>COUNTIFS('Test Cases'!$B$5:$B$75,$A19,'Test Cases'!$N$5:$N$75,"Blocked")</f>
        <v>0</v>
      </c>
      <c r="G19" s="5">
        <f>COUNTIFS('Test Cases'!$B$5:$B$75,$A19,'Test Cases'!$N$5:$N$75,"Not Run")</f>
        <v>2</v>
      </c>
      <c r="H19" s="5">
        <f>COUNTIFS('Test Cases'!$B$5:$B$75,$A19,'Test Cases'!$K$5:$K$75,"GAP")</f>
        <v>0</v>
      </c>
    </row>
    <row r="20">
      <c r="A20" s="5" t="s">
        <v>449</v>
      </c>
      <c r="B20" s="5" t="s">
        <v>450</v>
      </c>
      <c r="C20" s="5">
        <f>COUNTIF('Test Cases'!$B$5:$B$75,A20)</f>
        <v>2</v>
      </c>
      <c r="D20" s="5">
        <f>COUNTIFS('Test Cases'!$B$5:$B$75,$A20,'Test Cases'!$N$5:$N$75,"Pass")</f>
        <v>0</v>
      </c>
      <c r="E20" s="5">
        <f>COUNTIFS('Test Cases'!$B$5:$B$75,$A20,'Test Cases'!$N$5:$N$75,"Fail")</f>
        <v>0</v>
      </c>
      <c r="F20" s="5">
        <f>COUNTIFS('Test Cases'!$B$5:$B$75,$A20,'Test Cases'!$N$5:$N$75,"Blocked")</f>
        <v>0</v>
      </c>
      <c r="G20" s="5">
        <f>COUNTIFS('Test Cases'!$B$5:$B$75,$A20,'Test Cases'!$N$5:$N$75,"Not Run")</f>
        <v>2</v>
      </c>
      <c r="H20" s="5">
        <f>COUNTIFS('Test Cases'!$B$5:$B$75,$A20,'Test Cases'!$K$5:$K$75,"GAP")</f>
        <v>0</v>
      </c>
    </row>
    <row r="21" ht="15.75" customHeight="1">
      <c r="A21" s="5" t="s">
        <v>459</v>
      </c>
      <c r="B21" s="5" t="s">
        <v>460</v>
      </c>
      <c r="C21" s="5">
        <f>COUNTIF('Test Cases'!$B$5:$B$75,A21)</f>
        <v>1</v>
      </c>
      <c r="D21" s="5">
        <f>COUNTIFS('Test Cases'!$B$5:$B$75,$A21,'Test Cases'!$N$5:$N$75,"Pass")</f>
        <v>0</v>
      </c>
      <c r="E21" s="5">
        <f>COUNTIFS('Test Cases'!$B$5:$B$75,$A21,'Test Cases'!$N$5:$N$75,"Fail")</f>
        <v>0</v>
      </c>
      <c r="F21" s="5">
        <f>COUNTIFS('Test Cases'!$B$5:$B$75,$A21,'Test Cases'!$N$5:$N$75,"Blocked")</f>
        <v>0</v>
      </c>
      <c r="G21" s="5">
        <f>COUNTIFS('Test Cases'!$B$5:$B$75,$A21,'Test Cases'!$N$5:$N$75,"Not Run")</f>
        <v>1</v>
      </c>
      <c r="H21" s="5">
        <f>COUNTIFS('Test Cases'!$B$5:$B$75,$A21,'Test Cases'!$K$5:$K$75,"GAP")</f>
        <v>0</v>
      </c>
    </row>
    <row r="22" ht="15.75" customHeight="1">
      <c r="A22" s="9" t="s">
        <v>9</v>
      </c>
      <c r="C22" s="10">
        <f t="shared" ref="C22:H22" si="1">SUM(C4:C21)</f>
        <v>71</v>
      </c>
      <c r="D22" s="10">
        <f t="shared" si="1"/>
        <v>0</v>
      </c>
      <c r="E22" s="10">
        <f t="shared" si="1"/>
        <v>0</v>
      </c>
      <c r="F22" s="10">
        <f t="shared" si="1"/>
        <v>0</v>
      </c>
      <c r="G22" s="10">
        <f t="shared" si="1"/>
        <v>71</v>
      </c>
      <c r="H22" s="10">
        <f t="shared" si="1"/>
        <v>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8.0"/>
    <col customWidth="1" min="3" max="3" width="45.0"/>
    <col customWidth="1" min="4" max="5" width="16.0"/>
    <col customWidth="1" min="6" max="6" width="14.0"/>
    <col customWidth="1" min="7" max="7" width="26.0"/>
    <col customWidth="1" min="8" max="8" width="40.0"/>
    <col customWidth="1" min="9" max="26" width="8.71"/>
  </cols>
  <sheetData>
    <row r="1">
      <c r="A1" s="1" t="s">
        <v>18</v>
      </c>
    </row>
    <row r="3">
      <c r="A3" s="4" t="s">
        <v>25</v>
      </c>
      <c r="B3" s="4" t="s">
        <v>28</v>
      </c>
      <c r="C3" s="4" t="s">
        <v>30</v>
      </c>
      <c r="D3" s="4" t="s">
        <v>32</v>
      </c>
      <c r="E3" s="4" t="s">
        <v>34</v>
      </c>
      <c r="F3" s="4" t="s">
        <v>36</v>
      </c>
      <c r="G3" s="4" t="s">
        <v>37</v>
      </c>
      <c r="H3" s="4" t="s">
        <v>39</v>
      </c>
    </row>
    <row r="4">
      <c r="A4" s="7" t="s">
        <v>41</v>
      </c>
      <c r="B4" s="7" t="s">
        <v>48</v>
      </c>
      <c r="C4" s="7" t="s">
        <v>49</v>
      </c>
      <c r="D4" s="7" t="s">
        <v>50</v>
      </c>
      <c r="E4" s="7" t="s">
        <v>51</v>
      </c>
      <c r="F4" s="7" t="s">
        <v>52</v>
      </c>
      <c r="G4" s="7" t="s">
        <v>53</v>
      </c>
      <c r="H4" s="7" t="s">
        <v>55</v>
      </c>
    </row>
    <row r="5">
      <c r="A5" s="7" t="s">
        <v>56</v>
      </c>
      <c r="B5" s="7" t="s">
        <v>58</v>
      </c>
      <c r="C5" s="7" t="s">
        <v>59</v>
      </c>
      <c r="D5" s="7" t="s">
        <v>50</v>
      </c>
      <c r="E5" s="7" t="s">
        <v>51</v>
      </c>
      <c r="F5" s="7" t="s">
        <v>52</v>
      </c>
      <c r="G5" s="7" t="s">
        <v>63</v>
      </c>
      <c r="H5" s="7" t="s">
        <v>65</v>
      </c>
    </row>
    <row r="6">
      <c r="A6" s="7" t="s">
        <v>66</v>
      </c>
      <c r="B6" s="7" t="s">
        <v>67</v>
      </c>
      <c r="C6" s="7" t="s">
        <v>68</v>
      </c>
      <c r="D6" s="7" t="s">
        <v>69</v>
      </c>
      <c r="E6" s="7" t="s">
        <v>75</v>
      </c>
      <c r="F6" s="7" t="s">
        <v>77</v>
      </c>
      <c r="G6" s="7" t="s">
        <v>79</v>
      </c>
      <c r="H6" s="7" t="s">
        <v>80</v>
      </c>
    </row>
    <row r="7">
      <c r="A7" s="7" t="s">
        <v>83</v>
      </c>
      <c r="B7" s="7" t="s">
        <v>84</v>
      </c>
      <c r="C7" s="7" t="s">
        <v>85</v>
      </c>
      <c r="D7" s="7" t="s">
        <v>86</v>
      </c>
      <c r="E7" s="7" t="s">
        <v>77</v>
      </c>
      <c r="F7" s="7" t="s">
        <v>77</v>
      </c>
      <c r="G7" s="7" t="s">
        <v>87</v>
      </c>
      <c r="H7" s="7" t="s">
        <v>88</v>
      </c>
    </row>
    <row r="8">
      <c r="A8" s="7" t="s">
        <v>89</v>
      </c>
      <c r="B8" s="7" t="s">
        <v>91</v>
      </c>
      <c r="C8" s="7" t="s">
        <v>92</v>
      </c>
      <c r="D8" s="7" t="s">
        <v>77</v>
      </c>
      <c r="E8" s="7" t="s">
        <v>94</v>
      </c>
      <c r="F8" s="7" t="s">
        <v>77</v>
      </c>
      <c r="G8" s="7" t="s">
        <v>95</v>
      </c>
      <c r="H8" s="7" t="s">
        <v>97</v>
      </c>
    </row>
    <row r="10" ht="30.0" customHeight="1">
      <c r="A10" s="8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H10"/>
  </mergeCells>
  <printOptions/>
  <pageMargins bottom="1.0" footer="0.0" header="0.0" left="0.75" right="0.75" top="1.0"/>
  <pageSetup paperSize="9" orientation="portrait"/>
  <drawing r:id="rId1"/>
</worksheet>
</file>