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Declining Schedule" sheetId="2" r:id="rId6"/>
  </sheets>
  <definedNames/>
  <calcPr/>
</workbook>
</file>

<file path=xl/sharedStrings.xml><?xml version="1.0" encoding="utf-8"?>
<sst xmlns="http://schemas.openxmlformats.org/spreadsheetml/2006/main" count="36" uniqueCount="32">
  <si>
    <t>Implied Annual Profit Rate – QA test cases (FRD 5.2.1)</t>
  </si>
  <si>
    <t>Item</t>
  </si>
  <si>
    <t>Case A</t>
  </si>
  <si>
    <t>Case B</t>
  </si>
  <si>
    <t>Case C</t>
  </si>
  <si>
    <t>Case D</t>
  </si>
  <si>
    <t>Cost Price C</t>
  </si>
  <si>
    <t>Profit Amount P</t>
  </si>
  <si>
    <t>Installments n</t>
  </si>
  <si>
    <t>Installments per year m</t>
  </si>
  <si>
    <t>Selling Price S = C + P</t>
  </si>
  <si>
    <t>Installment I = S / n</t>
  </si>
  <si>
    <t>r per period = RATE(n, −I, C)</t>
  </si>
  <si>
    <t>Implied Annual Profit Rate = r × m</t>
  </si>
  <si>
    <t>Flat equivalent = P / C / (n / m)</t>
  </si>
  <si>
    <t>Expected r per period (FRD)</t>
  </si>
  <si>
    <t>Expected annual rate (FRD, 2 dp)</t>
  </si>
  <si>
    <t>Check: ROUND(annual, 4) = expected</t>
  </si>
  <si>
    <t>Declining Balance allocation of a fixed Profit Amount (FRD 5.2 / 5.2.1)</t>
  </si>
  <si>
    <t>Installment (rounded)</t>
  </si>
  <si>
    <t>r per period</t>
  </si>
  <si>
    <t>Implied Annual Profit Rate</t>
  </si>
  <si>
    <t>#</t>
  </si>
  <si>
    <t>Opening Outstanding Cost</t>
  </si>
  <si>
    <t>Profit</t>
  </si>
  <si>
    <t>Financing Amount</t>
  </si>
  <si>
    <t>Installment</t>
  </si>
  <si>
    <t>Closing Outstanding Cost</t>
  </si>
  <si>
    <t>Total</t>
  </si>
  <si>
    <t>Check Σ Profit = P</t>
  </si>
  <si>
    <t>Check Σ Financing = C</t>
  </si>
  <si>
    <t>Check Σ Installments = C +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</si>
</sst>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00000%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FF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3" numFmtId="164" xfId="0" applyAlignment="1" applyBorder="1" applyFill="1" applyFont="1" applyNumberFormat="1">
      <alignment shrinkToFit="0" vertical="bottom" wrapText="0"/>
    </xf>
    <xf borderId="1" fillId="3" fontId="3" numFmtId="164" xfId="0" applyAlignment="1" applyBorder="1" applyFill="1" applyFont="1" applyNumberFormat="1">
      <alignment readingOrder="0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0" fontId="3" numFmtId="10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3" fontId="5" numFmtId="164" xfId="0" applyAlignment="1" applyBorder="1" applyFill="1" applyFont="1" applyNumberForma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0" fontId="6" numFmtId="165" xfId="0" applyAlignment="1" applyBorder="1" applyFont="1" applyNumberFormat="1">
      <alignment shrinkToFit="0" vertical="bottom" wrapText="0"/>
    </xf>
    <xf borderId="1" fillId="0" fontId="6" numFmtId="10" xfId="0" applyAlignment="1" applyBorder="1" applyFont="1" applyNumberFormat="1">
      <alignment shrinkToFit="0" vertical="bottom" wrapText="0"/>
    </xf>
    <xf borderId="1" fillId="2" fontId="2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5" width="16.0"/>
    <col customWidth="1" min="6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4">
        <v>10000.0</v>
      </c>
      <c r="C4" s="4">
        <v>5000.0</v>
      </c>
      <c r="D4" s="4">
        <v>20000.0</v>
      </c>
      <c r="E4" s="4">
        <v>1000.0</v>
      </c>
    </row>
    <row r="5">
      <c r="A5" s="3" t="s">
        <v>7</v>
      </c>
      <c r="B5" s="5">
        <v>1500.0</v>
      </c>
      <c r="C5" s="4">
        <v>600.0</v>
      </c>
      <c r="D5" s="4">
        <v>3000.0</v>
      </c>
      <c r="E5" s="4">
        <v>100.0</v>
      </c>
    </row>
    <row r="6">
      <c r="A6" s="3" t="s">
        <v>8</v>
      </c>
      <c r="B6" s="6">
        <v>12.0</v>
      </c>
      <c r="C6" s="6">
        <v>24.0</v>
      </c>
      <c r="D6" s="6">
        <v>8.0</v>
      </c>
      <c r="E6" s="6">
        <v>7.0</v>
      </c>
    </row>
    <row r="7">
      <c r="A7" s="3" t="s">
        <v>9</v>
      </c>
      <c r="B7" s="6">
        <v>12.0</v>
      </c>
      <c r="C7" s="6">
        <v>12.0</v>
      </c>
      <c r="D7" s="6">
        <v>4.0</v>
      </c>
      <c r="E7" s="6">
        <v>12.0</v>
      </c>
    </row>
    <row r="8">
      <c r="A8" s="3" t="s">
        <v>10</v>
      </c>
      <c r="B8" s="7">
        <f t="shared" ref="B8:E8" si="1">B4+B5</f>
        <v>11500</v>
      </c>
      <c r="C8" s="7">
        <f t="shared" si="1"/>
        <v>5600</v>
      </c>
      <c r="D8" s="7">
        <f t="shared" si="1"/>
        <v>23000</v>
      </c>
      <c r="E8" s="7">
        <f t="shared" si="1"/>
        <v>1100</v>
      </c>
    </row>
    <row r="9">
      <c r="A9" s="3" t="s">
        <v>11</v>
      </c>
      <c r="B9" s="7">
        <f t="shared" ref="B9:E9" si="2">B8/B6</f>
        <v>958.3333333</v>
      </c>
      <c r="C9" s="7">
        <f t="shared" si="2"/>
        <v>233.3333333</v>
      </c>
      <c r="D9" s="7">
        <f t="shared" si="2"/>
        <v>2875</v>
      </c>
      <c r="E9" s="7">
        <f t="shared" si="2"/>
        <v>157.1428571</v>
      </c>
    </row>
    <row r="10">
      <c r="A10" s="3" t="s">
        <v>12</v>
      </c>
      <c r="B10" s="8">
        <f t="shared" ref="B10:E10" si="3">RATE(B6,-B9,B4)</f>
        <v>0.0221854665</v>
      </c>
      <c r="C10" s="8">
        <f t="shared" si="3"/>
        <v>0.009272219717</v>
      </c>
      <c r="D10" s="8">
        <f t="shared" si="3"/>
        <v>0.03214786135</v>
      </c>
      <c r="E10" s="8">
        <f t="shared" si="3"/>
        <v>0.02441152032</v>
      </c>
    </row>
    <row r="11">
      <c r="A11" s="3" t="s">
        <v>13</v>
      </c>
      <c r="B11" s="9">
        <f t="shared" ref="B11:E11" si="4">B10*B7</f>
        <v>0.266225598</v>
      </c>
      <c r="C11" s="9">
        <f t="shared" si="4"/>
        <v>0.1112666366</v>
      </c>
      <c r="D11" s="9">
        <f t="shared" si="4"/>
        <v>0.1285914454</v>
      </c>
      <c r="E11" s="9">
        <f t="shared" si="4"/>
        <v>0.2929382438</v>
      </c>
    </row>
    <row r="12">
      <c r="A12" s="3" t="s">
        <v>14</v>
      </c>
      <c r="B12" s="9">
        <f t="shared" ref="B12:E12" si="5">B5/B4/(B6/B7)</f>
        <v>0.15</v>
      </c>
      <c r="C12" s="9">
        <f t="shared" si="5"/>
        <v>0.06</v>
      </c>
      <c r="D12" s="9">
        <f t="shared" si="5"/>
        <v>0.075</v>
      </c>
      <c r="E12" s="9">
        <f t="shared" si="5"/>
        <v>0.1714285714</v>
      </c>
    </row>
    <row r="13">
      <c r="A13" s="3"/>
      <c r="B13" s="3"/>
      <c r="C13" s="3"/>
      <c r="D13" s="3"/>
      <c r="E13" s="3"/>
    </row>
    <row r="14">
      <c r="A14" s="3" t="s">
        <v>15</v>
      </c>
      <c r="B14" s="8">
        <v>0.0221854665</v>
      </c>
      <c r="C14" s="8">
        <v>0.0092722197</v>
      </c>
      <c r="D14" s="8">
        <v>0.0321478614</v>
      </c>
      <c r="E14" s="8">
        <v>0.0244115203</v>
      </c>
    </row>
    <row r="15">
      <c r="A15" s="3" t="s">
        <v>16</v>
      </c>
      <c r="B15" s="9">
        <v>0.2662</v>
      </c>
      <c r="C15" s="9">
        <v>0.1113</v>
      </c>
      <c r="D15" s="9">
        <v>0.1286</v>
      </c>
      <c r="E15" s="9">
        <v>0.2929</v>
      </c>
    </row>
    <row r="16">
      <c r="A16" s="10" t="s">
        <v>17</v>
      </c>
      <c r="B16" s="3" t="b">
        <f t="shared" ref="B16:E16" si="6">ROUND(B11,4)=B15</f>
        <v>1</v>
      </c>
      <c r="C16" s="3" t="b">
        <f t="shared" si="6"/>
        <v>1</v>
      </c>
      <c r="D16" s="3" t="b">
        <f t="shared" si="6"/>
        <v>1</v>
      </c>
      <c r="E16" s="3" t="b">
        <f t="shared" si="6"/>
        <v>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30.0"/>
    <col customWidth="1" min="2" max="6" width="18.0"/>
    <col customWidth="1" min="7" max="26" width="8.71"/>
  </cols>
  <sheetData>
    <row r="1">
      <c r="A1" s="1" t="s">
        <v>18</v>
      </c>
    </row>
    <row r="3">
      <c r="A3" s="3" t="s">
        <v>6</v>
      </c>
      <c r="B3" s="11">
        <v>10000.0</v>
      </c>
    </row>
    <row r="4">
      <c r="A4" s="3" t="s">
        <v>7</v>
      </c>
      <c r="B4" s="11">
        <v>1500.0</v>
      </c>
    </row>
    <row r="5">
      <c r="A5" s="3" t="s">
        <v>8</v>
      </c>
      <c r="B5" s="12">
        <v>12.0</v>
      </c>
    </row>
    <row r="6">
      <c r="A6" s="3" t="s">
        <v>9</v>
      </c>
      <c r="B6" s="12">
        <v>12.0</v>
      </c>
    </row>
    <row r="7">
      <c r="A7" s="3" t="s">
        <v>19</v>
      </c>
      <c r="B7" s="13">
        <f>ROUND((B3+B4)/B5,3)</f>
        <v>958.333</v>
      </c>
    </row>
    <row r="8">
      <c r="A8" s="3" t="s">
        <v>20</v>
      </c>
      <c r="B8" s="14">
        <f>RATE(B5,-(B3+B4)/B5,B3)</f>
        <v>0.0221854665</v>
      </c>
    </row>
    <row r="9">
      <c r="A9" s="3" t="s">
        <v>21</v>
      </c>
      <c r="B9" s="15">
        <f>B8*B6</f>
        <v>0.266225598</v>
      </c>
    </row>
    <row r="11">
      <c r="A11" s="16" t="s">
        <v>22</v>
      </c>
      <c r="B11" s="16" t="s">
        <v>23</v>
      </c>
      <c r="C11" s="16" t="s">
        <v>24</v>
      </c>
      <c r="D11" s="16" t="s">
        <v>25</v>
      </c>
      <c r="E11" s="16" t="s">
        <v>26</v>
      </c>
      <c r="F11" s="16" t="s">
        <v>27</v>
      </c>
    </row>
    <row r="12">
      <c r="A12" s="3">
        <f>IF(1&lt;=$B$5,1,"")</f>
        <v>1</v>
      </c>
      <c r="B12" s="7">
        <f>IF(1&lt;=$B$5,$B$3,"")</f>
        <v>10000</v>
      </c>
      <c r="C12" s="7">
        <f>IF(1&gt;$B$5,"",IF(1&lt;$B$5,ROUND(B12*$B$8,3),$B$4))</f>
        <v>221.855</v>
      </c>
      <c r="D12" s="7">
        <f>IF(1&gt;$B$5,"",IF(1&lt;$B$5,ROUND($B$7-C12,3),B12))</f>
        <v>736.478</v>
      </c>
      <c r="E12" s="7">
        <f>IF(1&gt;$B$5,"",C12+D12)</f>
        <v>958.333</v>
      </c>
      <c r="F12" s="7">
        <f>IF(1&gt;$B$5,"",ROUND(B12-D12,3))</f>
        <v>9263.522</v>
      </c>
    </row>
    <row r="13">
      <c r="A13" s="3">
        <f>IF(2&lt;=$B$5,2,"")</f>
        <v>2</v>
      </c>
      <c r="B13" s="7">
        <f>IF(2&lt;=$B$5,F12,"")</f>
        <v>9263.522</v>
      </c>
      <c r="C13" s="7">
        <f>IF(2&gt;$B$5,"",IF(2&lt;$B$5,ROUND(B13*$B$8,3),ROUND($B$4-SUM(C$12:C12),3)))</f>
        <v>205.516</v>
      </c>
      <c r="D13" s="7">
        <f>IF(2&gt;$B$5,"",IF(2&lt;$B$5,ROUND($B$7-C13,3),B13))</f>
        <v>752.817</v>
      </c>
      <c r="E13" s="7">
        <f>IF(2&gt;$B$5,"",C13+D13)</f>
        <v>958.333</v>
      </c>
      <c r="F13" s="7">
        <f>IF(2&gt;$B$5,"",ROUND(B13-D13,3))</f>
        <v>8510.705</v>
      </c>
    </row>
    <row r="14">
      <c r="A14" s="3">
        <f>IF(3&lt;=$B$5,3,"")</f>
        <v>3</v>
      </c>
      <c r="B14" s="7">
        <f>IF(3&lt;=$B$5,F13,"")</f>
        <v>8510.705</v>
      </c>
      <c r="C14" s="7">
        <f>IF(3&gt;$B$5,"",IF(3&lt;$B$5,ROUND(B14*$B$8,3),ROUND($B$4-SUM(C$12:C13),3)))</f>
        <v>188.814</v>
      </c>
      <c r="D14" s="7">
        <f>IF(3&gt;$B$5,"",IF(3&lt;$B$5,ROUND($B$7-C14,3),B14))</f>
        <v>769.519</v>
      </c>
      <c r="E14" s="7">
        <f>IF(3&gt;$B$5,"",C14+D14)</f>
        <v>958.333</v>
      </c>
      <c r="F14" s="7">
        <f>IF(3&gt;$B$5,"",ROUND(B14-D14,3))</f>
        <v>7741.186</v>
      </c>
    </row>
    <row r="15">
      <c r="A15" s="3">
        <f>IF(4&lt;=$B$5,4,"")</f>
        <v>4</v>
      </c>
      <c r="B15" s="7">
        <f>IF(4&lt;=$B$5,F14,"")</f>
        <v>7741.186</v>
      </c>
      <c r="C15" s="7">
        <f>IF(4&gt;$B$5,"",IF(4&lt;$B$5,ROUND(B15*$B$8,3),ROUND($B$4-SUM(C$12:C14),3)))</f>
        <v>171.742</v>
      </c>
      <c r="D15" s="7">
        <f>IF(4&gt;$B$5,"",IF(4&lt;$B$5,ROUND($B$7-C15,3),B15))</f>
        <v>786.591</v>
      </c>
      <c r="E15" s="7">
        <f>IF(4&gt;$B$5,"",C15+D15)</f>
        <v>958.333</v>
      </c>
      <c r="F15" s="7">
        <f>IF(4&gt;$B$5,"",ROUND(B15-D15,3))</f>
        <v>6954.595</v>
      </c>
    </row>
    <row r="16">
      <c r="A16" s="3">
        <f>IF(5&lt;=$B$5,5,"")</f>
        <v>5</v>
      </c>
      <c r="B16" s="7">
        <f>IF(5&lt;=$B$5,F15,"")</f>
        <v>6954.595</v>
      </c>
      <c r="C16" s="7">
        <f>IF(5&gt;$B$5,"",IF(5&lt;$B$5,ROUND(B16*$B$8,3),ROUND($B$4-SUM(C$12:C15),3)))</f>
        <v>154.291</v>
      </c>
      <c r="D16" s="7">
        <f>IF(5&gt;$B$5,"",IF(5&lt;$B$5,ROUND($B$7-C16,3),B16))</f>
        <v>804.042</v>
      </c>
      <c r="E16" s="7">
        <f>IF(5&gt;$B$5,"",C16+D16)</f>
        <v>958.333</v>
      </c>
      <c r="F16" s="7">
        <f>IF(5&gt;$B$5,"",ROUND(B16-D16,3))</f>
        <v>6150.553</v>
      </c>
    </row>
    <row r="17">
      <c r="A17" s="3">
        <f>IF(6&lt;=$B$5,6,"")</f>
        <v>6</v>
      </c>
      <c r="B17" s="7">
        <f>IF(6&lt;=$B$5,F16,"")</f>
        <v>6150.553</v>
      </c>
      <c r="C17" s="7">
        <f>IF(6&gt;$B$5,"",IF(6&lt;$B$5,ROUND(B17*$B$8,3),ROUND($B$4-SUM(C$12:C16),3)))</f>
        <v>136.453</v>
      </c>
      <c r="D17" s="7">
        <f>IF(6&gt;$B$5,"",IF(6&lt;$B$5,ROUND($B$7-C17,3),B17))</f>
        <v>821.88</v>
      </c>
      <c r="E17" s="7">
        <f>IF(6&gt;$B$5,"",C17+D17)</f>
        <v>958.333</v>
      </c>
      <c r="F17" s="7">
        <f>IF(6&gt;$B$5,"",ROUND(B17-D17,3))</f>
        <v>5328.673</v>
      </c>
    </row>
    <row r="18">
      <c r="A18" s="3">
        <f>IF(7&lt;=$B$5,7,"")</f>
        <v>7</v>
      </c>
      <c r="B18" s="7">
        <f>IF(7&lt;=$B$5,F17,"")</f>
        <v>5328.673</v>
      </c>
      <c r="C18" s="7">
        <f>IF(7&gt;$B$5,"",IF(7&lt;$B$5,ROUND(B18*$B$8,3),ROUND($B$4-SUM(C$12:C17),3)))</f>
        <v>118.219</v>
      </c>
      <c r="D18" s="7">
        <f>IF(7&gt;$B$5,"",IF(7&lt;$B$5,ROUND($B$7-C18,3),B18))</f>
        <v>840.114</v>
      </c>
      <c r="E18" s="7">
        <f>IF(7&gt;$B$5,"",C18+D18)</f>
        <v>958.333</v>
      </c>
      <c r="F18" s="7">
        <f>IF(7&gt;$B$5,"",ROUND(B18-D18,3))</f>
        <v>4488.559</v>
      </c>
    </row>
    <row r="19">
      <c r="A19" s="3">
        <f>IF(8&lt;=$B$5,8,"")</f>
        <v>8</v>
      </c>
      <c r="B19" s="7">
        <f>IF(8&lt;=$B$5,F18,"")</f>
        <v>4488.559</v>
      </c>
      <c r="C19" s="7">
        <f>IF(8&gt;$B$5,"",IF(8&lt;$B$5,ROUND(B19*$B$8,3),ROUND($B$4-SUM(C$12:C18),3)))</f>
        <v>99.581</v>
      </c>
      <c r="D19" s="7">
        <f>IF(8&gt;$B$5,"",IF(8&lt;$B$5,ROUND($B$7-C19,3),B19))</f>
        <v>858.752</v>
      </c>
      <c r="E19" s="7">
        <f>IF(8&gt;$B$5,"",C19+D19)</f>
        <v>958.333</v>
      </c>
      <c r="F19" s="7">
        <f>IF(8&gt;$B$5,"",ROUND(B19-D19,3))</f>
        <v>3629.807</v>
      </c>
    </row>
    <row r="20" ht="15.75" customHeight="1">
      <c r="A20" s="3">
        <f>IF(9&lt;=$B$5,9,"")</f>
        <v>9</v>
      </c>
      <c r="B20" s="7">
        <f>IF(9&lt;=$B$5,F19,"")</f>
        <v>3629.807</v>
      </c>
      <c r="C20" s="7">
        <f>IF(9&gt;$B$5,"",IF(9&lt;$B$5,ROUND(B20*$B$8,3),ROUND($B$4-SUM(C$12:C19),3)))</f>
        <v>80.529</v>
      </c>
      <c r="D20" s="7">
        <f>IF(9&gt;$B$5,"",IF(9&lt;$B$5,ROUND($B$7-C20,3),B20))</f>
        <v>877.804</v>
      </c>
      <c r="E20" s="7">
        <f>IF(9&gt;$B$5,"",C20+D20)</f>
        <v>958.333</v>
      </c>
      <c r="F20" s="7">
        <f>IF(9&gt;$B$5,"",ROUND(B20-D20,3))</f>
        <v>2752.003</v>
      </c>
    </row>
    <row r="21" ht="15.75" customHeight="1">
      <c r="A21" s="3">
        <f>IF(10&lt;=$B$5,10,"")</f>
        <v>10</v>
      </c>
      <c r="B21" s="7">
        <f>IF(10&lt;=$B$5,F20,"")</f>
        <v>2752.003</v>
      </c>
      <c r="C21" s="7">
        <f>IF(10&gt;$B$5,"",IF(10&lt;$B$5,ROUND(B21*$B$8,3),ROUND($B$4-SUM(C$12:C20),3)))</f>
        <v>61.054</v>
      </c>
      <c r="D21" s="7">
        <f>IF(10&gt;$B$5,"",IF(10&lt;$B$5,ROUND($B$7-C21,3),B21))</f>
        <v>897.279</v>
      </c>
      <c r="E21" s="7">
        <f>IF(10&gt;$B$5,"",C21+D21)</f>
        <v>958.333</v>
      </c>
      <c r="F21" s="7">
        <f>IF(10&gt;$B$5,"",ROUND(B21-D21,3))</f>
        <v>1854.724</v>
      </c>
    </row>
    <row r="22" ht="15.75" customHeight="1">
      <c r="A22" s="3">
        <f>IF(11&lt;=$B$5,11,"")</f>
        <v>11</v>
      </c>
      <c r="B22" s="7">
        <f>IF(11&lt;=$B$5,F21,"")</f>
        <v>1854.724</v>
      </c>
      <c r="C22" s="7">
        <f>IF(11&gt;$B$5,"",IF(11&lt;$B$5,ROUND(B22*$B$8,3),ROUND($B$4-SUM(C$12:C21),3)))</f>
        <v>41.148</v>
      </c>
      <c r="D22" s="7">
        <f>IF(11&gt;$B$5,"",IF(11&lt;$B$5,ROUND($B$7-C22,3),B22))</f>
        <v>917.185</v>
      </c>
      <c r="E22" s="7">
        <f>IF(11&gt;$B$5,"",C22+D22)</f>
        <v>958.333</v>
      </c>
      <c r="F22" s="7">
        <f>IF(11&gt;$B$5,"",ROUND(B22-D22,3))</f>
        <v>937.539</v>
      </c>
    </row>
    <row r="23" ht="15.75" customHeight="1">
      <c r="A23" s="3">
        <f>IF(12&lt;=$B$5,12,"")</f>
        <v>12</v>
      </c>
      <c r="B23" s="7">
        <f>IF(12&lt;=$B$5,F22,"")</f>
        <v>937.539</v>
      </c>
      <c r="C23" s="7">
        <f>IF(12&gt;$B$5,"",IF(12&lt;$B$5,ROUND(B23*$B$8,3),ROUND($B$4-SUM(C$12:C22),3)))</f>
        <v>20.798</v>
      </c>
      <c r="D23" s="7">
        <f>IF(12&gt;$B$5,"",IF(12&lt;$B$5,ROUND($B$7-C23,3),B23))</f>
        <v>937.539</v>
      </c>
      <c r="E23" s="7">
        <f>IF(12&gt;$B$5,"",C23+D23)</f>
        <v>958.337</v>
      </c>
      <c r="F23" s="7">
        <f>IF(12&gt;$B$5,"",ROUND(B23-D23,3))</f>
        <v>0</v>
      </c>
    </row>
    <row r="24" ht="15.75" customHeight="1">
      <c r="A24" s="3" t="str">
        <f>IF(13&lt;=$B$5,13,"")</f>
        <v/>
      </c>
      <c r="B24" s="7" t="str">
        <f>IF(13&lt;=$B$5,F23,"")</f>
        <v/>
      </c>
      <c r="C24" s="7" t="str">
        <f>IF(13&gt;$B$5,"",IF(13&lt;$B$5,ROUND(B24*$B$8,3),ROUND($B$4-SUM(C$12:C23),3)))</f>
        <v/>
      </c>
      <c r="D24" s="7" t="str">
        <f>IF(13&gt;$B$5,"",IF(13&lt;$B$5,ROUND($B$7-C24,3),B24))</f>
        <v/>
      </c>
      <c r="E24" s="7" t="str">
        <f>IF(13&gt;$B$5,"",C24+D24)</f>
        <v/>
      </c>
      <c r="F24" s="7" t="str">
        <f>IF(13&gt;$B$5,"",ROUND(B24-D24,3))</f>
        <v/>
      </c>
    </row>
    <row r="25" ht="15.75" customHeight="1">
      <c r="A25" s="3" t="str">
        <f>IF(14&lt;=$B$5,14,"")</f>
        <v/>
      </c>
      <c r="B25" s="7" t="str">
        <f>IF(14&lt;=$B$5,F24,"")</f>
        <v/>
      </c>
      <c r="C25" s="7" t="str">
        <f>IF(14&gt;$B$5,"",IF(14&lt;$B$5,ROUND(B25*$B$8,3),ROUND($B$4-SUM(C$12:C24),3)))</f>
        <v/>
      </c>
      <c r="D25" s="7" t="str">
        <f>IF(14&gt;$B$5,"",IF(14&lt;$B$5,ROUND($B$7-C25,3),B25))</f>
        <v/>
      </c>
      <c r="E25" s="7" t="str">
        <f>IF(14&gt;$B$5,"",C25+D25)</f>
        <v/>
      </c>
      <c r="F25" s="7" t="str">
        <f>IF(14&gt;$B$5,"",ROUND(B25-D25,3))</f>
        <v/>
      </c>
    </row>
    <row r="26" ht="15.75" customHeight="1">
      <c r="A26" s="3" t="str">
        <f>IF(15&lt;=$B$5,15,"")</f>
        <v/>
      </c>
      <c r="B26" s="7" t="str">
        <f>IF(15&lt;=$B$5,F25,"")</f>
        <v/>
      </c>
      <c r="C26" s="7" t="str">
        <f>IF(15&gt;$B$5,"",IF(15&lt;$B$5,ROUND(B26*$B$8,3),ROUND($B$4-SUM(C$12:C25),3)))</f>
        <v/>
      </c>
      <c r="D26" s="7" t="str">
        <f>IF(15&gt;$B$5,"",IF(15&lt;$B$5,ROUND($B$7-C26,3),B26))</f>
        <v/>
      </c>
      <c r="E26" s="7" t="str">
        <f>IF(15&gt;$B$5,"",C26+D26)</f>
        <v/>
      </c>
      <c r="F26" s="7" t="str">
        <f>IF(15&gt;$B$5,"",ROUND(B26-D26,3))</f>
        <v/>
      </c>
    </row>
    <row r="27" ht="15.75" customHeight="1">
      <c r="A27" s="3" t="str">
        <f>IF(16&lt;=$B$5,16,"")</f>
        <v/>
      </c>
      <c r="B27" s="7" t="str">
        <f>IF(16&lt;=$B$5,F26,"")</f>
        <v/>
      </c>
      <c r="C27" s="7" t="str">
        <f>IF(16&gt;$B$5,"",IF(16&lt;$B$5,ROUND(B27*$B$8,3),ROUND($B$4-SUM(C$12:C26),3)))</f>
        <v/>
      </c>
      <c r="D27" s="7" t="str">
        <f>IF(16&gt;$B$5,"",IF(16&lt;$B$5,ROUND($B$7-C27,3),B27))</f>
        <v/>
      </c>
      <c r="E27" s="7" t="str">
        <f>IF(16&gt;$B$5,"",C27+D27)</f>
        <v/>
      </c>
      <c r="F27" s="7" t="str">
        <f>IF(16&gt;$B$5,"",ROUND(B27-D27,3))</f>
        <v/>
      </c>
    </row>
    <row r="28" ht="15.75" customHeight="1">
      <c r="A28" s="3" t="str">
        <f>IF(17&lt;=$B$5,17,"")</f>
        <v/>
      </c>
      <c r="B28" s="7" t="str">
        <f>IF(17&lt;=$B$5,F27,"")</f>
        <v/>
      </c>
      <c r="C28" s="7" t="str">
        <f>IF(17&gt;$B$5,"",IF(17&lt;$B$5,ROUND(B28*$B$8,3),ROUND($B$4-SUM(C$12:C27),3)))</f>
        <v/>
      </c>
      <c r="D28" s="7" t="str">
        <f>IF(17&gt;$B$5,"",IF(17&lt;$B$5,ROUND($B$7-C28,3),B28))</f>
        <v/>
      </c>
      <c r="E28" s="7" t="str">
        <f>IF(17&gt;$B$5,"",C28+D28)</f>
        <v/>
      </c>
      <c r="F28" s="7" t="str">
        <f>IF(17&gt;$B$5,"",ROUND(B28-D28,3))</f>
        <v/>
      </c>
    </row>
    <row r="29" ht="15.75" customHeight="1">
      <c r="A29" s="3" t="str">
        <f>IF(18&lt;=$B$5,18,"")</f>
        <v/>
      </c>
      <c r="B29" s="7" t="str">
        <f>IF(18&lt;=$B$5,F28,"")</f>
        <v/>
      </c>
      <c r="C29" s="7" t="str">
        <f>IF(18&gt;$B$5,"",IF(18&lt;$B$5,ROUND(B29*$B$8,3),ROUND($B$4-SUM(C$12:C28),3)))</f>
        <v/>
      </c>
      <c r="D29" s="7" t="str">
        <f>IF(18&gt;$B$5,"",IF(18&lt;$B$5,ROUND($B$7-C29,3),B29))</f>
        <v/>
      </c>
      <c r="E29" s="7" t="str">
        <f>IF(18&gt;$B$5,"",C29+D29)</f>
        <v/>
      </c>
      <c r="F29" s="7" t="str">
        <f>IF(18&gt;$B$5,"",ROUND(B29-D29,3))</f>
        <v/>
      </c>
    </row>
    <row r="30" ht="15.75" customHeight="1">
      <c r="A30" s="3" t="str">
        <f>IF(19&lt;=$B$5,19,"")</f>
        <v/>
      </c>
      <c r="B30" s="7" t="str">
        <f>IF(19&lt;=$B$5,F29,"")</f>
        <v/>
      </c>
      <c r="C30" s="7" t="str">
        <f>IF(19&gt;$B$5,"",IF(19&lt;$B$5,ROUND(B30*$B$8,3),ROUND($B$4-SUM(C$12:C29),3)))</f>
        <v/>
      </c>
      <c r="D30" s="7" t="str">
        <f>IF(19&gt;$B$5,"",IF(19&lt;$B$5,ROUND($B$7-C30,3),B30))</f>
        <v/>
      </c>
      <c r="E30" s="7" t="str">
        <f>IF(19&gt;$B$5,"",C30+D30)</f>
        <v/>
      </c>
      <c r="F30" s="7" t="str">
        <f>IF(19&gt;$B$5,"",ROUND(B30-D30,3))</f>
        <v/>
      </c>
    </row>
    <row r="31" ht="15.75" customHeight="1">
      <c r="A31" s="3" t="str">
        <f>IF(20&lt;=$B$5,20,"")</f>
        <v/>
      </c>
      <c r="B31" s="7" t="str">
        <f>IF(20&lt;=$B$5,F30,"")</f>
        <v/>
      </c>
      <c r="C31" s="7" t="str">
        <f>IF(20&gt;$B$5,"",IF(20&lt;$B$5,ROUND(B31*$B$8,3),ROUND($B$4-SUM(C$12:C30),3)))</f>
        <v/>
      </c>
      <c r="D31" s="7" t="str">
        <f>IF(20&gt;$B$5,"",IF(20&lt;$B$5,ROUND($B$7-C31,3),B31))</f>
        <v/>
      </c>
      <c r="E31" s="7" t="str">
        <f>IF(20&gt;$B$5,"",C31+D31)</f>
        <v/>
      </c>
      <c r="F31" s="7" t="str">
        <f>IF(20&gt;$B$5,"",ROUND(B31-D31,3))</f>
        <v/>
      </c>
    </row>
    <row r="32" ht="15.75" customHeight="1">
      <c r="A32" s="3" t="str">
        <f>IF(21&lt;=$B$5,21,"")</f>
        <v/>
      </c>
      <c r="B32" s="7" t="str">
        <f>IF(21&lt;=$B$5,F31,"")</f>
        <v/>
      </c>
      <c r="C32" s="7" t="str">
        <f>IF(21&gt;$B$5,"",IF(21&lt;$B$5,ROUND(B32*$B$8,3),ROUND($B$4-SUM(C$12:C31),3)))</f>
        <v/>
      </c>
      <c r="D32" s="7" t="str">
        <f>IF(21&gt;$B$5,"",IF(21&lt;$B$5,ROUND($B$7-C32,3),B32))</f>
        <v/>
      </c>
      <c r="E32" s="7" t="str">
        <f>IF(21&gt;$B$5,"",C32+D32)</f>
        <v/>
      </c>
      <c r="F32" s="7" t="str">
        <f>IF(21&gt;$B$5,"",ROUND(B32-D32,3))</f>
        <v/>
      </c>
    </row>
    <row r="33" ht="15.75" customHeight="1">
      <c r="A33" s="3" t="str">
        <f>IF(22&lt;=$B$5,22,"")</f>
        <v/>
      </c>
      <c r="B33" s="7" t="str">
        <f>IF(22&lt;=$B$5,F32,"")</f>
        <v/>
      </c>
      <c r="C33" s="7" t="str">
        <f>IF(22&gt;$B$5,"",IF(22&lt;$B$5,ROUND(B33*$B$8,3),ROUND($B$4-SUM(C$12:C32),3)))</f>
        <v/>
      </c>
      <c r="D33" s="7" t="str">
        <f>IF(22&gt;$B$5,"",IF(22&lt;$B$5,ROUND($B$7-C33,3),B33))</f>
        <v/>
      </c>
      <c r="E33" s="7" t="str">
        <f>IF(22&gt;$B$5,"",C33+D33)</f>
        <v/>
      </c>
      <c r="F33" s="7" t="str">
        <f>IF(22&gt;$B$5,"",ROUND(B33-D33,3))</f>
        <v/>
      </c>
    </row>
    <row r="34" ht="15.75" customHeight="1">
      <c r="A34" s="3" t="str">
        <f>IF(23&lt;=$B$5,23,"")</f>
        <v/>
      </c>
      <c r="B34" s="7" t="str">
        <f>IF(23&lt;=$B$5,F33,"")</f>
        <v/>
      </c>
      <c r="C34" s="7" t="str">
        <f>IF(23&gt;$B$5,"",IF(23&lt;$B$5,ROUND(B34*$B$8,3),ROUND($B$4-SUM(C$12:C33),3)))</f>
        <v/>
      </c>
      <c r="D34" s="7" t="str">
        <f>IF(23&gt;$B$5,"",IF(23&lt;$B$5,ROUND($B$7-C34,3),B34))</f>
        <v/>
      </c>
      <c r="E34" s="7" t="str">
        <f>IF(23&gt;$B$5,"",C34+D34)</f>
        <v/>
      </c>
      <c r="F34" s="7" t="str">
        <f>IF(23&gt;$B$5,"",ROUND(B34-D34,3))</f>
        <v/>
      </c>
    </row>
    <row r="35" ht="15.75" customHeight="1">
      <c r="A35" s="3" t="str">
        <f>IF(24&lt;=$B$5,24,"")</f>
        <v/>
      </c>
      <c r="B35" s="7" t="str">
        <f>IF(24&lt;=$B$5,F34,"")</f>
        <v/>
      </c>
      <c r="C35" s="7" t="str">
        <f>IF(24&gt;$B$5,"",IF(24&lt;$B$5,ROUND(B35*$B$8,3),ROUND($B$4-SUM(C$12:C34),3)))</f>
        <v/>
      </c>
      <c r="D35" s="7" t="str">
        <f>IF(24&gt;$B$5,"",IF(24&lt;$B$5,ROUND($B$7-C35,3),B35))</f>
        <v/>
      </c>
      <c r="E35" s="7" t="str">
        <f>IF(24&gt;$B$5,"",C35+D35)</f>
        <v/>
      </c>
      <c r="F35" s="7" t="str">
        <f>IF(24&gt;$B$5,"",ROUND(B35-D35,3))</f>
        <v/>
      </c>
    </row>
    <row r="36" ht="15.75" customHeight="1">
      <c r="A36" s="3" t="str">
        <f>IF(25&lt;=$B$5,25,"")</f>
        <v/>
      </c>
      <c r="B36" s="7" t="str">
        <f>IF(25&lt;=$B$5,F35,"")</f>
        <v/>
      </c>
      <c r="C36" s="7" t="str">
        <f>IF(25&gt;$B$5,"",IF(25&lt;$B$5,ROUND(B36*$B$8,3),ROUND($B$4-SUM(C$12:C35),3)))</f>
        <v/>
      </c>
      <c r="D36" s="7" t="str">
        <f>IF(25&gt;$B$5,"",IF(25&lt;$B$5,ROUND($B$7-C36,3),B36))</f>
        <v/>
      </c>
      <c r="E36" s="7" t="str">
        <f>IF(25&gt;$B$5,"",C36+D36)</f>
        <v/>
      </c>
      <c r="F36" s="7" t="str">
        <f>IF(25&gt;$B$5,"",ROUND(B36-D36,3))</f>
        <v/>
      </c>
    </row>
    <row r="37" ht="15.75" customHeight="1">
      <c r="A37" s="3" t="str">
        <f>IF(26&lt;=$B$5,26,"")</f>
        <v/>
      </c>
      <c r="B37" s="7" t="str">
        <f>IF(26&lt;=$B$5,F36,"")</f>
        <v/>
      </c>
      <c r="C37" s="7" t="str">
        <f>IF(26&gt;$B$5,"",IF(26&lt;$B$5,ROUND(B37*$B$8,3),ROUND($B$4-SUM(C$12:C36),3)))</f>
        <v/>
      </c>
      <c r="D37" s="7" t="str">
        <f>IF(26&gt;$B$5,"",IF(26&lt;$B$5,ROUND($B$7-C37,3),B37))</f>
        <v/>
      </c>
      <c r="E37" s="7" t="str">
        <f>IF(26&gt;$B$5,"",C37+D37)</f>
        <v/>
      </c>
      <c r="F37" s="7" t="str">
        <f>IF(26&gt;$B$5,"",ROUND(B37-D37,3))</f>
        <v/>
      </c>
    </row>
    <row r="38" ht="15.75" customHeight="1">
      <c r="A38" s="3" t="str">
        <f>IF(27&lt;=$B$5,27,"")</f>
        <v/>
      </c>
      <c r="B38" s="7" t="str">
        <f>IF(27&lt;=$B$5,F37,"")</f>
        <v/>
      </c>
      <c r="C38" s="7" t="str">
        <f>IF(27&gt;$B$5,"",IF(27&lt;$B$5,ROUND(B38*$B$8,3),ROUND($B$4-SUM(C$12:C37),3)))</f>
        <v/>
      </c>
      <c r="D38" s="7" t="str">
        <f>IF(27&gt;$B$5,"",IF(27&lt;$B$5,ROUND($B$7-C38,3),B38))</f>
        <v/>
      </c>
      <c r="E38" s="7" t="str">
        <f>IF(27&gt;$B$5,"",C38+D38)</f>
        <v/>
      </c>
      <c r="F38" s="7" t="str">
        <f>IF(27&gt;$B$5,"",ROUND(B38-D38,3))</f>
        <v/>
      </c>
    </row>
    <row r="39" ht="15.75" customHeight="1">
      <c r="A39" s="3" t="str">
        <f>IF(28&lt;=$B$5,28,"")</f>
        <v/>
      </c>
      <c r="B39" s="7" t="str">
        <f>IF(28&lt;=$B$5,F38,"")</f>
        <v/>
      </c>
      <c r="C39" s="7" t="str">
        <f>IF(28&gt;$B$5,"",IF(28&lt;$B$5,ROUND(B39*$B$8,3),ROUND($B$4-SUM(C$12:C38),3)))</f>
        <v/>
      </c>
      <c r="D39" s="7" t="str">
        <f>IF(28&gt;$B$5,"",IF(28&lt;$B$5,ROUND($B$7-C39,3),B39))</f>
        <v/>
      </c>
      <c r="E39" s="7" t="str">
        <f>IF(28&gt;$B$5,"",C39+D39)</f>
        <v/>
      </c>
      <c r="F39" s="7" t="str">
        <f>IF(28&gt;$B$5,"",ROUND(B39-D39,3))</f>
        <v/>
      </c>
    </row>
    <row r="40" ht="15.75" customHeight="1">
      <c r="A40" s="3" t="str">
        <f>IF(29&lt;=$B$5,29,"")</f>
        <v/>
      </c>
      <c r="B40" s="7" t="str">
        <f>IF(29&lt;=$B$5,F39,"")</f>
        <v/>
      </c>
      <c r="C40" s="7" t="str">
        <f>IF(29&gt;$B$5,"",IF(29&lt;$B$5,ROUND(B40*$B$8,3),ROUND($B$4-SUM(C$12:C39),3)))</f>
        <v/>
      </c>
      <c r="D40" s="7" t="str">
        <f>IF(29&gt;$B$5,"",IF(29&lt;$B$5,ROUND($B$7-C40,3),B40))</f>
        <v/>
      </c>
      <c r="E40" s="7" t="str">
        <f>IF(29&gt;$B$5,"",C40+D40)</f>
        <v/>
      </c>
      <c r="F40" s="7" t="str">
        <f>IF(29&gt;$B$5,"",ROUND(B40-D40,3))</f>
        <v/>
      </c>
    </row>
    <row r="41" ht="15.75" customHeight="1">
      <c r="A41" s="3" t="str">
        <f>IF(30&lt;=$B$5,30,"")</f>
        <v/>
      </c>
      <c r="B41" s="7" t="str">
        <f>IF(30&lt;=$B$5,F40,"")</f>
        <v/>
      </c>
      <c r="C41" s="7" t="str">
        <f>IF(30&gt;$B$5,"",IF(30&lt;$B$5,ROUND(B41*$B$8,3),ROUND($B$4-SUM(C$12:C40),3)))</f>
        <v/>
      </c>
      <c r="D41" s="7" t="str">
        <f>IF(30&gt;$B$5,"",IF(30&lt;$B$5,ROUND($B$7-C41,3),B41))</f>
        <v/>
      </c>
      <c r="E41" s="7" t="str">
        <f>IF(30&gt;$B$5,"",C41+D41)</f>
        <v/>
      </c>
      <c r="F41" s="7" t="str">
        <f>IF(30&gt;$B$5,"",ROUND(B41-D41,3))</f>
        <v/>
      </c>
    </row>
    <row r="42" ht="15.75" customHeight="1">
      <c r="A42" s="3" t="str">
        <f>IF(31&lt;=$B$5,31,"")</f>
        <v/>
      </c>
      <c r="B42" s="7" t="str">
        <f>IF(31&lt;=$B$5,F41,"")</f>
        <v/>
      </c>
      <c r="C42" s="7" t="str">
        <f>IF(31&gt;$B$5,"",IF(31&lt;$B$5,ROUND(B42*$B$8,3),ROUND($B$4-SUM(C$12:C41),3)))</f>
        <v/>
      </c>
      <c r="D42" s="7" t="str">
        <f>IF(31&gt;$B$5,"",IF(31&lt;$B$5,ROUND($B$7-C42,3),B42))</f>
        <v/>
      </c>
      <c r="E42" s="7" t="str">
        <f>IF(31&gt;$B$5,"",C42+D42)</f>
        <v/>
      </c>
      <c r="F42" s="7" t="str">
        <f>IF(31&gt;$B$5,"",ROUND(B42-D42,3))</f>
        <v/>
      </c>
    </row>
    <row r="43" ht="15.75" customHeight="1">
      <c r="A43" s="3" t="str">
        <f>IF(32&lt;=$B$5,32,"")</f>
        <v/>
      </c>
      <c r="B43" s="7" t="str">
        <f>IF(32&lt;=$B$5,F42,"")</f>
        <v/>
      </c>
      <c r="C43" s="7" t="str">
        <f>IF(32&gt;$B$5,"",IF(32&lt;$B$5,ROUND(B43*$B$8,3),ROUND($B$4-SUM(C$12:C42),3)))</f>
        <v/>
      </c>
      <c r="D43" s="7" t="str">
        <f>IF(32&gt;$B$5,"",IF(32&lt;$B$5,ROUND($B$7-C43,3),B43))</f>
        <v/>
      </c>
      <c r="E43" s="7" t="str">
        <f>IF(32&gt;$B$5,"",C43+D43)</f>
        <v/>
      </c>
      <c r="F43" s="7" t="str">
        <f>IF(32&gt;$B$5,"",ROUND(B43-D43,3))</f>
        <v/>
      </c>
    </row>
    <row r="44" ht="15.75" customHeight="1">
      <c r="A44" s="3" t="str">
        <f>IF(33&lt;=$B$5,33,"")</f>
        <v/>
      </c>
      <c r="B44" s="7" t="str">
        <f>IF(33&lt;=$B$5,F43,"")</f>
        <v/>
      </c>
      <c r="C44" s="7" t="str">
        <f>IF(33&gt;$B$5,"",IF(33&lt;$B$5,ROUND(B44*$B$8,3),ROUND($B$4-SUM(C$12:C43),3)))</f>
        <v/>
      </c>
      <c r="D44" s="7" t="str">
        <f>IF(33&gt;$B$5,"",IF(33&lt;$B$5,ROUND($B$7-C44,3),B44))</f>
        <v/>
      </c>
      <c r="E44" s="7" t="str">
        <f>IF(33&gt;$B$5,"",C44+D44)</f>
        <v/>
      </c>
      <c r="F44" s="7" t="str">
        <f>IF(33&gt;$B$5,"",ROUND(B44-D44,3))</f>
        <v/>
      </c>
    </row>
    <row r="45" ht="15.75" customHeight="1">
      <c r="A45" s="3" t="str">
        <f>IF(34&lt;=$B$5,34,"")</f>
        <v/>
      </c>
      <c r="B45" s="7" t="str">
        <f>IF(34&lt;=$B$5,F44,"")</f>
        <v/>
      </c>
      <c r="C45" s="7" t="str">
        <f>IF(34&gt;$B$5,"",IF(34&lt;$B$5,ROUND(B45*$B$8,3),ROUND($B$4-SUM(C$12:C44),3)))</f>
        <v/>
      </c>
      <c r="D45" s="7" t="str">
        <f>IF(34&gt;$B$5,"",IF(34&lt;$B$5,ROUND($B$7-C45,3),B45))</f>
        <v/>
      </c>
      <c r="E45" s="7" t="str">
        <f>IF(34&gt;$B$5,"",C45+D45)</f>
        <v/>
      </c>
      <c r="F45" s="7" t="str">
        <f>IF(34&gt;$B$5,"",ROUND(B45-D45,3))</f>
        <v/>
      </c>
    </row>
    <row r="46" ht="15.75" customHeight="1">
      <c r="A46" s="3" t="str">
        <f>IF(35&lt;=$B$5,35,"")</f>
        <v/>
      </c>
      <c r="B46" s="7" t="str">
        <f>IF(35&lt;=$B$5,F45,"")</f>
        <v/>
      </c>
      <c r="C46" s="7" t="str">
        <f>IF(35&gt;$B$5,"",IF(35&lt;$B$5,ROUND(B46*$B$8,3),ROUND($B$4-SUM(C$12:C45),3)))</f>
        <v/>
      </c>
      <c r="D46" s="7" t="str">
        <f>IF(35&gt;$B$5,"",IF(35&lt;$B$5,ROUND($B$7-C46,3),B46))</f>
        <v/>
      </c>
      <c r="E46" s="7" t="str">
        <f>IF(35&gt;$B$5,"",C46+D46)</f>
        <v/>
      </c>
      <c r="F46" s="7" t="str">
        <f>IF(35&gt;$B$5,"",ROUND(B46-D46,3))</f>
        <v/>
      </c>
    </row>
    <row r="47" ht="15.75" customHeight="1">
      <c r="A47" s="3" t="str">
        <f>IF(36&lt;=$B$5,36,"")</f>
        <v/>
      </c>
      <c r="B47" s="7" t="str">
        <f>IF(36&lt;=$B$5,F46,"")</f>
        <v/>
      </c>
      <c r="C47" s="7" t="str">
        <f>IF(36&gt;$B$5,"",IF(36&lt;$B$5,ROUND(B47*$B$8,3),ROUND($B$4-SUM(C$12:C46),3)))</f>
        <v/>
      </c>
      <c r="D47" s="7" t="str">
        <f>IF(36&gt;$B$5,"",IF(36&lt;$B$5,ROUND($B$7-C47,3),B47))</f>
        <v/>
      </c>
      <c r="E47" s="7" t="str">
        <f>IF(36&gt;$B$5,"",C47+D47)</f>
        <v/>
      </c>
      <c r="F47" s="7" t="str">
        <f>IF(36&gt;$B$5,"",ROUND(B47-D47,3))</f>
        <v/>
      </c>
    </row>
    <row r="48" ht="15.75" customHeight="1">
      <c r="A48" s="17" t="s">
        <v>28</v>
      </c>
      <c r="C48" s="18">
        <f t="shared" ref="C48:E48" si="1">SUM(C12:C47)</f>
        <v>1500</v>
      </c>
      <c r="D48" s="18">
        <f t="shared" si="1"/>
        <v>10000</v>
      </c>
      <c r="E48" s="18">
        <f t="shared" si="1"/>
        <v>11500</v>
      </c>
    </row>
    <row r="49" ht="15.75" customHeight="1">
      <c r="A49" s="19" t="s">
        <v>29</v>
      </c>
      <c r="C49" s="20" t="b">
        <f>ROUND(C48,3)=ROUND(B4,3)</f>
        <v>1</v>
      </c>
    </row>
    <row r="50" ht="15.75" customHeight="1">
      <c r="A50" s="19" t="s">
        <v>30</v>
      </c>
      <c r="D50" s="20" t="b">
        <f>ROUND(D48,3)=ROUND(B3,3)</f>
        <v>1</v>
      </c>
    </row>
    <row r="51" ht="15.75" customHeight="1">
      <c r="A51" s="19" t="s">
        <v>31</v>
      </c>
      <c r="E51" s="20" t="b">
        <f>ROUND(E48,3)=ROUND(B3+B4,3)</f>
        <v>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